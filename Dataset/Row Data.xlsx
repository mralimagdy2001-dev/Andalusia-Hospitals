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smaa-abdelhady\Downloads\"/>
    </mc:Choice>
  </mc:AlternateContent>
  <xr:revisionPtr revIDLastSave="0" documentId="8_{6ECA4726-A8F6-4E4E-956E-7BAA7C6684AE}" xr6:coauthVersionLast="47" xr6:coauthVersionMax="47" xr10:uidLastSave="{00000000-0000-0000-0000-000000000000}"/>
  <bookViews>
    <workbookView xWindow="0" yWindow="0" windowWidth="19200" windowHeight="4990" xr2:uid="{00000000-000D-0000-FFFF-FFFF00000000}"/>
  </bookViews>
  <sheets>
    <sheet name="Billing Data" sheetId="2" r:id="rId1"/>
    <sheet name="Marketing Data" sheetId="1" r:id="rId2"/>
    <sheet name="Medical CRM 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Q3" i="2"/>
  <c r="P4" i="2"/>
  <c r="Q4" i="2"/>
  <c r="P5" i="2"/>
  <c r="Q5" i="2"/>
  <c r="P8" i="2"/>
  <c r="Q8" i="2"/>
  <c r="P9" i="2"/>
  <c r="Q9" i="2"/>
  <c r="P10" i="2"/>
  <c r="Q10" i="2"/>
  <c r="P11" i="2"/>
  <c r="Q11" i="2"/>
  <c r="P12" i="2"/>
  <c r="Q12" i="2"/>
  <c r="P13" i="2"/>
  <c r="Q13" i="2"/>
  <c r="P14" i="2"/>
  <c r="Q14" i="2"/>
  <c r="P15" i="2"/>
  <c r="Q15" i="2"/>
  <c r="P16" i="2"/>
  <c r="Q16" i="2"/>
  <c r="P17" i="2"/>
  <c r="Q17" i="2"/>
  <c r="P18" i="2"/>
  <c r="Q18" i="2"/>
  <c r="P19" i="2"/>
  <c r="Q19" i="2"/>
  <c r="P20" i="2"/>
  <c r="Q20" i="2"/>
  <c r="P23" i="2"/>
  <c r="Q23" i="2"/>
  <c r="P24" i="2"/>
  <c r="Q24" i="2"/>
  <c r="P25" i="2"/>
  <c r="Q25" i="2"/>
  <c r="P26" i="2"/>
  <c r="Q26" i="2"/>
  <c r="P27" i="2"/>
  <c r="Q27" i="2"/>
  <c r="P28" i="2"/>
  <c r="Q28" i="2"/>
  <c r="P29" i="2"/>
  <c r="Q29" i="2"/>
  <c r="P30" i="2"/>
  <c r="Q30" i="2"/>
  <c r="P31" i="2"/>
  <c r="Q31" i="2"/>
  <c r="P32" i="2"/>
  <c r="Q32" i="2"/>
  <c r="P33" i="2"/>
  <c r="Q33" i="2"/>
  <c r="P34" i="2"/>
  <c r="Q34" i="2"/>
  <c r="P35" i="2"/>
  <c r="Q35" i="2"/>
  <c r="P38" i="2"/>
  <c r="Q38" i="2"/>
  <c r="P39" i="2"/>
  <c r="Q39" i="2"/>
  <c r="P40" i="2"/>
  <c r="Q40" i="2"/>
  <c r="P41" i="2"/>
  <c r="Q41" i="2"/>
  <c r="P42" i="2"/>
  <c r="Q42" i="2"/>
  <c r="P43" i="2"/>
  <c r="Q43" i="2"/>
  <c r="P44" i="2"/>
  <c r="Q44" i="2"/>
  <c r="P45" i="2"/>
  <c r="Q45" i="2"/>
  <c r="P46" i="2"/>
  <c r="Q46" i="2"/>
  <c r="P47" i="2"/>
  <c r="Q47" i="2"/>
  <c r="P48" i="2"/>
  <c r="Q48" i="2"/>
  <c r="P49" i="2"/>
  <c r="Q49" i="2"/>
  <c r="P50" i="2"/>
  <c r="Q50" i="2"/>
  <c r="P51" i="2"/>
  <c r="Q51" i="2"/>
  <c r="P54" i="2"/>
  <c r="Q54" i="2"/>
  <c r="P55" i="2"/>
  <c r="Q55" i="2"/>
  <c r="P56" i="2"/>
  <c r="Q56" i="2"/>
  <c r="P57" i="2"/>
  <c r="Q57" i="2"/>
  <c r="P58" i="2"/>
  <c r="Q58" i="2"/>
  <c r="P59" i="2"/>
  <c r="Q59" i="2"/>
  <c r="P60" i="2"/>
  <c r="Q60" i="2"/>
  <c r="P61" i="2"/>
  <c r="Q61" i="2"/>
  <c r="P62" i="2"/>
  <c r="Q62" i="2"/>
  <c r="P63" i="2"/>
  <c r="Q63" i="2"/>
  <c r="P64" i="2"/>
  <c r="Q64" i="2"/>
  <c r="P65" i="2"/>
  <c r="Q65" i="2"/>
  <c r="P68" i="2"/>
  <c r="Q68" i="2"/>
  <c r="P69" i="2"/>
  <c r="Q69" i="2"/>
  <c r="P70" i="2"/>
  <c r="Q70" i="2"/>
  <c r="P71" i="2"/>
  <c r="Q71" i="2"/>
  <c r="P72" i="2"/>
  <c r="Q72" i="2"/>
  <c r="P73" i="2"/>
  <c r="Q73" i="2"/>
  <c r="P74" i="2"/>
  <c r="Q74" i="2"/>
  <c r="P75" i="2"/>
  <c r="Q75" i="2"/>
  <c r="P76" i="2"/>
  <c r="Q76" i="2"/>
  <c r="P77" i="2"/>
  <c r="Q77" i="2"/>
  <c r="P78" i="2"/>
  <c r="Q78" i="2"/>
  <c r="P79" i="2"/>
  <c r="Q79" i="2"/>
  <c r="P82" i="2"/>
  <c r="Q82" i="2"/>
  <c r="P83" i="2"/>
  <c r="Q83" i="2"/>
  <c r="P84" i="2"/>
  <c r="Q84" i="2"/>
  <c r="P85" i="2"/>
  <c r="Q85" i="2"/>
  <c r="P86" i="2"/>
  <c r="Q86" i="2"/>
  <c r="P87" i="2"/>
  <c r="Q87" i="2"/>
  <c r="P88" i="2"/>
  <c r="Q88" i="2"/>
  <c r="P89" i="2"/>
  <c r="Q89" i="2"/>
  <c r="P90" i="2"/>
  <c r="Q90" i="2"/>
  <c r="P91" i="2"/>
  <c r="Q91" i="2"/>
  <c r="P92" i="2"/>
  <c r="Q92" i="2"/>
  <c r="P93" i="2"/>
  <c r="Q93" i="2"/>
  <c r="P94" i="2"/>
  <c r="Q94" i="2"/>
  <c r="P97" i="2"/>
  <c r="Q97" i="2"/>
  <c r="P98" i="2"/>
  <c r="Q98" i="2"/>
  <c r="P99" i="2"/>
  <c r="Q99" i="2"/>
  <c r="P100" i="2"/>
  <c r="Q100" i="2"/>
  <c r="P101" i="2"/>
  <c r="Q101" i="2"/>
  <c r="P102" i="2"/>
  <c r="Q102" i="2"/>
  <c r="P103" i="2"/>
  <c r="Q103" i="2"/>
  <c r="P104" i="2"/>
  <c r="Q104" i="2"/>
  <c r="P105" i="2"/>
  <c r="Q105" i="2"/>
  <c r="P106" i="2"/>
  <c r="Q106" i="2"/>
  <c r="P107" i="2"/>
  <c r="Q107" i="2"/>
  <c r="P108" i="2"/>
  <c r="Q108" i="2"/>
  <c r="P110" i="2"/>
  <c r="Q110" i="2"/>
  <c r="P111" i="2"/>
  <c r="Q111" i="2"/>
  <c r="P112" i="2"/>
  <c r="Q112" i="2"/>
  <c r="P113" i="2"/>
  <c r="Q113" i="2"/>
  <c r="P114" i="2"/>
  <c r="Q114" i="2"/>
  <c r="P117" i="2"/>
  <c r="Q117" i="2"/>
  <c r="P118" i="2"/>
  <c r="Q118" i="2"/>
  <c r="P119" i="2"/>
  <c r="Q119" i="2"/>
  <c r="P120" i="2"/>
  <c r="Q120" i="2"/>
  <c r="P121" i="2"/>
  <c r="Q121" i="2"/>
  <c r="P122" i="2"/>
  <c r="Q122" i="2"/>
  <c r="P123" i="2"/>
  <c r="Q123" i="2"/>
  <c r="P124" i="2"/>
  <c r="Q124" i="2"/>
  <c r="P125" i="2"/>
  <c r="Q125" i="2"/>
  <c r="P126" i="2"/>
  <c r="Q126" i="2"/>
  <c r="P127" i="2"/>
  <c r="Q127" i="2"/>
  <c r="P128" i="2"/>
  <c r="Q128" i="2"/>
  <c r="P129" i="2"/>
  <c r="Q129" i="2"/>
  <c r="P130" i="2"/>
  <c r="Q130" i="2"/>
  <c r="P131" i="2"/>
  <c r="Q131" i="2"/>
  <c r="P132" i="2"/>
  <c r="Q132" i="2"/>
  <c r="P133" i="2"/>
  <c r="Q133" i="2"/>
  <c r="P136" i="2"/>
  <c r="Q136" i="2"/>
  <c r="P137" i="2"/>
  <c r="Q137" i="2"/>
  <c r="P138" i="2"/>
  <c r="Q138" i="2"/>
  <c r="P139" i="2"/>
  <c r="Q139" i="2"/>
  <c r="P140" i="2"/>
  <c r="Q140" i="2"/>
  <c r="P141" i="2"/>
  <c r="Q141" i="2"/>
  <c r="P142" i="2"/>
  <c r="Q142" i="2"/>
  <c r="P143" i="2"/>
  <c r="Q143" i="2"/>
  <c r="P144" i="2"/>
  <c r="Q144" i="2"/>
  <c r="P145" i="2"/>
  <c r="Q145" i="2"/>
  <c r="P146" i="2"/>
  <c r="Q146" i="2"/>
  <c r="P147" i="2"/>
  <c r="Q147" i="2"/>
  <c r="P2" i="2"/>
  <c r="Q2" i="2"/>
  <c r="P6" i="2"/>
  <c r="P7" i="2"/>
  <c r="P21" i="2"/>
  <c r="P22" i="2"/>
  <c r="P36" i="2"/>
  <c r="P37" i="2"/>
  <c r="P52" i="2"/>
  <c r="P53" i="2"/>
  <c r="P66" i="2"/>
  <c r="P67" i="2"/>
  <c r="P80" i="2"/>
  <c r="P81" i="2"/>
  <c r="P95" i="2"/>
  <c r="P96" i="2"/>
  <c r="P109" i="2"/>
  <c r="P115" i="2"/>
  <c r="P116" i="2"/>
  <c r="P134" i="2"/>
  <c r="P135" i="2"/>
  <c r="G3" i="3"/>
  <c r="G4" i="3"/>
  <c r="G5" i="3"/>
  <c r="G6" i="3"/>
  <c r="G7" i="3"/>
  <c r="G8" i="3"/>
  <c r="G9" i="3"/>
  <c r="G10" i="3"/>
  <c r="G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laa-hassan\Documents\My Data Sources\aws-bi-02_t17 CRM Dashboard Model.odc" keepAlive="1" name="aws-bi-02_t17 CRM Dashboard Model" type="5" refreshedVersion="5" background="1">
    <dbPr connection="Provider=MSOLAP.5;Integrated Security=SSPI;Persist Security Info=True;Initial Catalog=CRM Dashboard;Data Source=aws-bi-02\t17;MDX Compatibility=1;Safety Options=2;MDX Missing Member Mode=Error;Update Isolation Level=2" command="Model" commandType="1"/>
    <olapPr sendLocale="1" rowDrillCount="1000"/>
  </connection>
  <connection id="2" xr16:uid="{00000000-0015-0000-FFFF-FFFF01000000}" odcFile="C:\Users\alaa-hassan\Documents\My Data Sources\aws-bi-02_t17 Marketing Model.odc" keepAlive="1" name="aws-bi-02_t17 Marketing Model" type="5" refreshedVersion="5" background="1">
    <dbPr connection="Provider=MSOLAP.5;Integrated Security=SSPI;Persist Security Info=True;Initial Catalog=Marketing;Data Source=aws-bi-02\t17;MDX Compatibility=1;Safety Options=2;MDX Missing Member Mode=Error;Update Isolation Level=2" command="Model" commandType="1"/>
    <olapPr sendLocale="1" rowDrillCount="1000"/>
  </connection>
  <connection id="3" xr16:uid="{00000000-0015-0000-FFFF-FFFF02000000}" odcFile="C:\Users\asmaa-abdelhady\Documents\My Data Sources\bimonitoring.andalusiagroup.net_56203 Monitoring Billing.odc" keepAlive="1" name="bimonitoring.andalusiagroup.net_56203 Monitoring Billing" type="5" refreshedVersion="5" background="1">
    <dbPr connection="Provider=MSOLAP.5;Persist Security Info=True;User ID=asmaa-abdelhady;Initial Catalog=Monitoring;Data Source=bimonitoring.andalusiagroup.net:56203;MDX Compatibility=1;Safety Options=2;MDX Missing Member Mode=Error" command="Billing" commandType="1"/>
    <olapPr sendLocale="1" rowDrillCount="1000"/>
  </connection>
</connections>
</file>

<file path=xl/sharedStrings.xml><?xml version="1.0" encoding="utf-8"?>
<sst xmlns="http://schemas.openxmlformats.org/spreadsheetml/2006/main" count="805" uniqueCount="46">
  <si>
    <t>Country Name</t>
  </si>
  <si>
    <t>BU</t>
  </si>
  <si>
    <t>Month</t>
  </si>
  <si>
    <t>Unified Medical Department Name</t>
  </si>
  <si>
    <t>Payment Type</t>
  </si>
  <si>
    <t>Baseline Volume</t>
  </si>
  <si>
    <t>Baseline C/V</t>
  </si>
  <si>
    <t>Baseline Revenue</t>
  </si>
  <si>
    <t>Actual Revenue</t>
  </si>
  <si>
    <t>Actual Volume</t>
  </si>
  <si>
    <t>Actual C/V</t>
  </si>
  <si>
    <t>Historical Volume</t>
  </si>
  <si>
    <t>Historical C/V</t>
  </si>
  <si>
    <t>Historical Revenue</t>
  </si>
  <si>
    <t>Target Revenue</t>
  </si>
  <si>
    <t>Target Volume</t>
  </si>
  <si>
    <t>Target C/V</t>
  </si>
  <si>
    <t>Egypt</t>
  </si>
  <si>
    <t>AMH</t>
  </si>
  <si>
    <t>March 2025</t>
  </si>
  <si>
    <t>Cath LAB</t>
  </si>
  <si>
    <t>Cash</t>
  </si>
  <si>
    <t>Credit</t>
  </si>
  <si>
    <t>ER</t>
  </si>
  <si>
    <t>External - Pharmacy Sales</t>
  </si>
  <si>
    <t>ICU</t>
  </si>
  <si>
    <t>Inpatient</t>
  </si>
  <si>
    <t>NICU</t>
  </si>
  <si>
    <t>Outpatient</t>
  </si>
  <si>
    <t>PICU</t>
  </si>
  <si>
    <t>April 2025</t>
  </si>
  <si>
    <t>May 2025</t>
  </si>
  <si>
    <t>ASH</t>
  </si>
  <si>
    <t>Kingdom of Saudi Arabia</t>
  </si>
  <si>
    <t>HJH</t>
  </si>
  <si>
    <t>CCU</t>
  </si>
  <si>
    <t>Open Heart</t>
  </si>
  <si>
    <t>Baseline RPP</t>
  </si>
  <si>
    <t>Actual RPP</t>
  </si>
  <si>
    <t>Target RPP</t>
  </si>
  <si>
    <t>March</t>
  </si>
  <si>
    <t>April</t>
  </si>
  <si>
    <t>May</t>
  </si>
  <si>
    <t>Actual CPV</t>
  </si>
  <si>
    <t>Baseline CPV</t>
  </si>
  <si>
    <t>Target CPV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</si>
</sst>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11" Type="http://schemas.openxmlformats.org/officeDocument/2006/relationships/customXml" Target="../customXml/item3.xml" /><Relationship Id="rId5" Type="http://schemas.openxmlformats.org/officeDocument/2006/relationships/connections" Target="connections.xml" /><Relationship Id="rId10" Type="http://schemas.openxmlformats.org/officeDocument/2006/relationships/customXml" Target="../customXml/item2.xml" /><Relationship Id="rId4" Type="http://schemas.openxmlformats.org/officeDocument/2006/relationships/theme" Target="theme/theme1.xml" /><Relationship Id="rId9" Type="http://schemas.openxmlformats.org/officeDocument/2006/relationships/customXml" Target="../customXml/item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7"/>
  <sheetViews>
    <sheetView tabSelected="1" workbookViewId="0">
      <selection activeCell="E13" sqref="E13"/>
    </sheetView>
  </sheetViews>
  <sheetFormatPr defaultRowHeight="15" x14ac:dyDescent="0.2"/>
  <cols>
    <col min="1" max="1" width="21.38671875" bestFit="1" customWidth="1"/>
    <col min="2" max="2" width="13.5859375" bestFit="1" customWidth="1"/>
    <col min="3" max="3" width="11.8359375" bestFit="1" customWidth="1"/>
    <col min="4" max="4" width="30.1328125" bestFit="1" customWidth="1"/>
    <col min="5" max="5" width="12.5078125" bestFit="1" customWidth="1"/>
    <col min="6" max="6" width="18.4296875" bestFit="1" customWidth="1"/>
    <col min="7" max="7" width="21.7890625" bestFit="1" customWidth="1"/>
    <col min="8" max="8" width="20.17578125" bestFit="1" customWidth="1"/>
    <col min="9" max="9" width="12.5078125" bestFit="1" customWidth="1"/>
    <col min="10" max="10" width="10.89453125" bestFit="1" customWidth="1"/>
    <col min="11" max="11" width="14.2578125" bestFit="1" customWidth="1"/>
    <col min="12" max="12" width="19.1015625" bestFit="1" customWidth="1"/>
    <col min="13" max="13" width="22.59765625" bestFit="1" customWidth="1"/>
    <col min="14" max="15" width="21.117187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19</v>
      </c>
      <c r="G2">
        <v>22743.42</v>
      </c>
      <c r="H2">
        <v>432124.98</v>
      </c>
      <c r="I2">
        <v>1862747.0299999993</v>
      </c>
      <c r="J2">
        <v>33</v>
      </c>
      <c r="K2">
        <v>56446.879696969678</v>
      </c>
      <c r="L2">
        <v>52</v>
      </c>
      <c r="M2">
        <v>15994.613076923082</v>
      </c>
      <c r="N2">
        <v>831719.88000000024</v>
      </c>
      <c r="O2">
        <v>1862747.0299999993</v>
      </c>
      <c r="P2">
        <f>MAX(L2,J2,F2)</f>
        <v>52</v>
      </c>
      <c r="Q2">
        <f>O2/P2</f>
        <v>35822.058269230758</v>
      </c>
    </row>
    <row r="3" spans="1:17" x14ac:dyDescent="0.2">
      <c r="A3" t="s">
        <v>17</v>
      </c>
      <c r="B3" t="s">
        <v>18</v>
      </c>
      <c r="C3" t="s">
        <v>19</v>
      </c>
      <c r="D3" t="s">
        <v>20</v>
      </c>
      <c r="E3" t="s">
        <v>22</v>
      </c>
      <c r="F3">
        <v>57</v>
      </c>
      <c r="G3">
        <v>73905.697543859642</v>
      </c>
      <c r="H3">
        <v>4212624.76</v>
      </c>
      <c r="I3">
        <v>4341952.9899999946</v>
      </c>
      <c r="J3">
        <v>74</v>
      </c>
      <c r="K3">
        <v>58675.040405405336</v>
      </c>
      <c r="L3">
        <v>49</v>
      </c>
      <c r="M3">
        <v>28735.79265306122</v>
      </c>
      <c r="N3">
        <v>1408053.8399999999</v>
      </c>
      <c r="O3">
        <v>4341952.9899999946</v>
      </c>
      <c r="P3">
        <f t="shared" ref="P3:P66" si="0">MAX(L3,J3,F3)</f>
        <v>74</v>
      </c>
      <c r="Q3">
        <f t="shared" ref="Q3:Q66" si="1">O3/P3</f>
        <v>58675.040405405336</v>
      </c>
    </row>
    <row r="4" spans="1:17" x14ac:dyDescent="0.2">
      <c r="A4" t="s">
        <v>17</v>
      </c>
      <c r="B4" t="s">
        <v>18</v>
      </c>
      <c r="C4" t="s">
        <v>19</v>
      </c>
      <c r="D4" t="s">
        <v>23</v>
      </c>
      <c r="E4" t="s">
        <v>21</v>
      </c>
      <c r="F4">
        <v>401</v>
      </c>
      <c r="G4">
        <v>6175.7805735660877</v>
      </c>
      <c r="H4">
        <v>2476488.0100000012</v>
      </c>
      <c r="I4">
        <v>2297747.599999994</v>
      </c>
      <c r="J4">
        <v>339</v>
      </c>
      <c r="K4">
        <v>6778.0165191740234</v>
      </c>
      <c r="L4">
        <v>366</v>
      </c>
      <c r="M4">
        <v>4242.9284426229506</v>
      </c>
      <c r="N4">
        <v>1552911.8099999998</v>
      </c>
      <c r="O4">
        <v>2476488.0100000012</v>
      </c>
      <c r="P4">
        <f t="shared" si="0"/>
        <v>401</v>
      </c>
      <c r="Q4">
        <f t="shared" si="1"/>
        <v>6175.7805735660877</v>
      </c>
    </row>
    <row r="5" spans="1:17" x14ac:dyDescent="0.2">
      <c r="A5" t="s">
        <v>17</v>
      </c>
      <c r="B5" t="s">
        <v>18</v>
      </c>
      <c r="C5" t="s">
        <v>19</v>
      </c>
      <c r="D5" t="s">
        <v>23</v>
      </c>
      <c r="E5" t="s">
        <v>22</v>
      </c>
      <c r="F5">
        <v>2769</v>
      </c>
      <c r="G5">
        <v>4599.23106536654</v>
      </c>
      <c r="H5">
        <v>12735270.819999948</v>
      </c>
      <c r="I5">
        <v>13142663.600000007</v>
      </c>
      <c r="J5">
        <v>2649</v>
      </c>
      <c r="K5">
        <v>4961.3679124197834</v>
      </c>
      <c r="L5">
        <v>2054</v>
      </c>
      <c r="M5">
        <v>3006.8343281402163</v>
      </c>
      <c r="N5">
        <v>6176037.7100000046</v>
      </c>
      <c r="O5">
        <v>13142663.600000007</v>
      </c>
      <c r="P5">
        <f t="shared" si="0"/>
        <v>2769</v>
      </c>
      <c r="Q5">
        <f t="shared" si="1"/>
        <v>4746.3573853376693</v>
      </c>
    </row>
    <row r="6" spans="1:17" x14ac:dyDescent="0.2">
      <c r="A6" t="s">
        <v>17</v>
      </c>
      <c r="B6" t="s">
        <v>18</v>
      </c>
      <c r="C6" t="s">
        <v>19</v>
      </c>
      <c r="D6" t="s">
        <v>24</v>
      </c>
      <c r="E6" t="s">
        <v>21</v>
      </c>
      <c r="G6">
        <v>0</v>
      </c>
      <c r="H6">
        <v>370664.05999999988</v>
      </c>
      <c r="I6">
        <v>407746.62000000034</v>
      </c>
      <c r="K6">
        <v>0</v>
      </c>
      <c r="M6">
        <v>0</v>
      </c>
      <c r="N6">
        <v>218520.90999999997</v>
      </c>
      <c r="O6">
        <v>407746.62000000034</v>
      </c>
      <c r="P6">
        <f t="shared" si="0"/>
        <v>0</v>
      </c>
      <c r="Q6">
        <v>0</v>
      </c>
    </row>
    <row r="7" spans="1:17" x14ac:dyDescent="0.2">
      <c r="A7" t="s">
        <v>17</v>
      </c>
      <c r="B7" t="s">
        <v>18</v>
      </c>
      <c r="C7" t="s">
        <v>19</v>
      </c>
      <c r="D7" t="s">
        <v>24</v>
      </c>
      <c r="E7" t="s">
        <v>22</v>
      </c>
      <c r="G7">
        <v>0</v>
      </c>
      <c r="H7">
        <v>5126927.2400000095</v>
      </c>
      <c r="I7">
        <v>4562487.5300000245</v>
      </c>
      <c r="K7">
        <v>0</v>
      </c>
      <c r="M7">
        <v>0</v>
      </c>
      <c r="N7">
        <v>2940335.6699999995</v>
      </c>
      <c r="O7">
        <v>5126927.2400000095</v>
      </c>
      <c r="P7">
        <f t="shared" si="0"/>
        <v>0</v>
      </c>
      <c r="Q7">
        <v>0</v>
      </c>
    </row>
    <row r="8" spans="1:17" x14ac:dyDescent="0.2">
      <c r="A8" t="s">
        <v>17</v>
      </c>
      <c r="B8" t="s">
        <v>18</v>
      </c>
      <c r="C8" t="s">
        <v>19</v>
      </c>
      <c r="D8" t="s">
        <v>25</v>
      </c>
      <c r="E8" t="s">
        <v>21</v>
      </c>
      <c r="F8">
        <v>25</v>
      </c>
      <c r="G8">
        <v>89423.735999999975</v>
      </c>
      <c r="H8">
        <v>2235593.3999999994</v>
      </c>
      <c r="I8">
        <v>2029327.2100000083</v>
      </c>
      <c r="J8">
        <v>17</v>
      </c>
      <c r="K8">
        <v>119372.1888235299</v>
      </c>
      <c r="L8">
        <v>18</v>
      </c>
      <c r="M8">
        <v>38657.890555555554</v>
      </c>
      <c r="N8">
        <v>695842.02999999991</v>
      </c>
      <c r="O8">
        <v>2235593.3999999994</v>
      </c>
      <c r="P8">
        <f t="shared" si="0"/>
        <v>25</v>
      </c>
      <c r="Q8">
        <f t="shared" si="1"/>
        <v>89423.735999999975</v>
      </c>
    </row>
    <row r="9" spans="1:17" x14ac:dyDescent="0.2">
      <c r="A9" t="s">
        <v>17</v>
      </c>
      <c r="B9" t="s">
        <v>18</v>
      </c>
      <c r="C9" t="s">
        <v>19</v>
      </c>
      <c r="D9" t="s">
        <v>25</v>
      </c>
      <c r="E9" t="s">
        <v>22</v>
      </c>
      <c r="F9">
        <v>104</v>
      </c>
      <c r="G9">
        <v>83247.259999999995</v>
      </c>
      <c r="H9">
        <v>8657715.0399999991</v>
      </c>
      <c r="I9">
        <v>9415013.5500001144</v>
      </c>
      <c r="J9">
        <v>102</v>
      </c>
      <c r="K9">
        <v>92304.054411765828</v>
      </c>
      <c r="L9">
        <v>91</v>
      </c>
      <c r="M9">
        <v>67641.060439560417</v>
      </c>
      <c r="N9">
        <v>6155336.4999999981</v>
      </c>
      <c r="O9">
        <v>9415013.5500001144</v>
      </c>
      <c r="P9">
        <f t="shared" si="0"/>
        <v>104</v>
      </c>
      <c r="Q9">
        <f t="shared" si="1"/>
        <v>90528.976442308791</v>
      </c>
    </row>
    <row r="10" spans="1:17" x14ac:dyDescent="0.2">
      <c r="A10" t="s">
        <v>17</v>
      </c>
      <c r="B10" t="s">
        <v>18</v>
      </c>
      <c r="C10" t="s">
        <v>19</v>
      </c>
      <c r="D10" t="s">
        <v>26</v>
      </c>
      <c r="E10" t="s">
        <v>21</v>
      </c>
      <c r="F10">
        <v>88</v>
      </c>
      <c r="G10">
        <v>23399.986250000002</v>
      </c>
      <c r="H10">
        <v>2059198.7900000003</v>
      </c>
      <c r="I10">
        <v>2487585.5800000085</v>
      </c>
      <c r="J10">
        <v>76</v>
      </c>
      <c r="K10">
        <v>32731.389210526428</v>
      </c>
      <c r="L10">
        <v>121</v>
      </c>
      <c r="M10">
        <v>12779.875619834715</v>
      </c>
      <c r="N10">
        <v>1546364.9500000004</v>
      </c>
      <c r="O10">
        <v>2487585.5800000085</v>
      </c>
      <c r="P10">
        <f t="shared" si="0"/>
        <v>121</v>
      </c>
      <c r="Q10">
        <f t="shared" si="1"/>
        <v>20558.558512396765</v>
      </c>
    </row>
    <row r="11" spans="1:17" x14ac:dyDescent="0.2">
      <c r="A11" t="s">
        <v>17</v>
      </c>
      <c r="B11" t="s">
        <v>18</v>
      </c>
      <c r="C11" t="s">
        <v>19</v>
      </c>
      <c r="D11" t="s">
        <v>26</v>
      </c>
      <c r="E11" t="s">
        <v>22</v>
      </c>
      <c r="F11">
        <v>840</v>
      </c>
      <c r="G11">
        <v>26503.836666666673</v>
      </c>
      <c r="H11">
        <v>22263222.800000004</v>
      </c>
      <c r="I11">
        <v>18597719.17999978</v>
      </c>
      <c r="J11">
        <v>726</v>
      </c>
      <c r="K11">
        <v>25616.693085399147</v>
      </c>
      <c r="L11">
        <v>693</v>
      </c>
      <c r="M11">
        <v>22212.193434343397</v>
      </c>
      <c r="N11">
        <v>15393050.049999975</v>
      </c>
      <c r="O11">
        <v>22263222.800000004</v>
      </c>
      <c r="P11">
        <f t="shared" si="0"/>
        <v>840</v>
      </c>
      <c r="Q11">
        <f t="shared" si="1"/>
        <v>26503.836666666673</v>
      </c>
    </row>
    <row r="12" spans="1:17" x14ac:dyDescent="0.2">
      <c r="A12" t="s">
        <v>17</v>
      </c>
      <c r="B12" t="s">
        <v>18</v>
      </c>
      <c r="C12" t="s">
        <v>19</v>
      </c>
      <c r="D12" t="s">
        <v>27</v>
      </c>
      <c r="E12" t="s">
        <v>21</v>
      </c>
      <c r="F12">
        <v>4</v>
      </c>
      <c r="G12">
        <v>42522.704999999987</v>
      </c>
      <c r="H12">
        <v>170090.81999999995</v>
      </c>
      <c r="L12">
        <v>1</v>
      </c>
      <c r="M12">
        <v>24945.19</v>
      </c>
      <c r="N12">
        <v>24945.19</v>
      </c>
      <c r="O12">
        <v>170090.81999999995</v>
      </c>
      <c r="P12">
        <f t="shared" si="0"/>
        <v>4</v>
      </c>
      <c r="Q12">
        <f t="shared" si="1"/>
        <v>42522.704999999987</v>
      </c>
    </row>
    <row r="13" spans="1:17" x14ac:dyDescent="0.2">
      <c r="A13" t="s">
        <v>17</v>
      </c>
      <c r="B13" t="s">
        <v>18</v>
      </c>
      <c r="C13" t="s">
        <v>19</v>
      </c>
      <c r="D13" t="s">
        <v>27</v>
      </c>
      <c r="E13" t="s">
        <v>22</v>
      </c>
      <c r="F13">
        <v>5</v>
      </c>
      <c r="G13">
        <v>26942.473999999998</v>
      </c>
      <c r="H13">
        <v>134712.37</v>
      </c>
      <c r="I13">
        <v>277634.46999999997</v>
      </c>
      <c r="J13">
        <v>5</v>
      </c>
      <c r="K13">
        <v>55526.893999999993</v>
      </c>
      <c r="L13">
        <v>2</v>
      </c>
      <c r="M13">
        <v>39992.089999999997</v>
      </c>
      <c r="N13">
        <v>79984.179999999993</v>
      </c>
      <c r="O13">
        <v>277634.46999999997</v>
      </c>
      <c r="P13">
        <f t="shared" si="0"/>
        <v>5</v>
      </c>
      <c r="Q13">
        <f t="shared" si="1"/>
        <v>55526.893999999993</v>
      </c>
    </row>
    <row r="14" spans="1:17" x14ac:dyDescent="0.2">
      <c r="A14" t="s">
        <v>17</v>
      </c>
      <c r="B14" t="s">
        <v>18</v>
      </c>
      <c r="C14" t="s">
        <v>19</v>
      </c>
      <c r="D14" t="s">
        <v>28</v>
      </c>
      <c r="E14" t="s">
        <v>21</v>
      </c>
      <c r="F14">
        <v>2654</v>
      </c>
      <c r="G14">
        <v>905.88362094951026</v>
      </c>
      <c r="H14">
        <v>2404215.1300000004</v>
      </c>
      <c r="I14">
        <v>1877700.9100000036</v>
      </c>
      <c r="J14">
        <v>2048</v>
      </c>
      <c r="K14">
        <v>916.84614746093928</v>
      </c>
      <c r="L14">
        <v>2071</v>
      </c>
      <c r="M14">
        <v>758.76189763399304</v>
      </c>
      <c r="N14">
        <v>1571395.8899999997</v>
      </c>
      <c r="O14">
        <v>2404215.1300000004</v>
      </c>
      <c r="P14">
        <f t="shared" si="0"/>
        <v>2654</v>
      </c>
      <c r="Q14">
        <f t="shared" si="1"/>
        <v>905.88362094951026</v>
      </c>
    </row>
    <row r="15" spans="1:17" x14ac:dyDescent="0.2">
      <c r="A15" t="s">
        <v>17</v>
      </c>
      <c r="B15" t="s">
        <v>18</v>
      </c>
      <c r="C15" t="s">
        <v>19</v>
      </c>
      <c r="D15" t="s">
        <v>28</v>
      </c>
      <c r="E15" t="s">
        <v>22</v>
      </c>
      <c r="F15">
        <v>29117</v>
      </c>
      <c r="G15">
        <v>1114.9347065288314</v>
      </c>
      <c r="H15">
        <v>32463553.849999987</v>
      </c>
      <c r="I15">
        <v>27980554.74000055</v>
      </c>
      <c r="J15">
        <v>23114</v>
      </c>
      <c r="K15">
        <v>1210.5457618759431</v>
      </c>
      <c r="L15">
        <v>22285</v>
      </c>
      <c r="M15">
        <v>807.70504599506455</v>
      </c>
      <c r="N15">
        <v>17999706.950000014</v>
      </c>
      <c r="O15">
        <v>32463553.849999987</v>
      </c>
      <c r="P15">
        <f t="shared" si="0"/>
        <v>29117</v>
      </c>
      <c r="Q15">
        <f t="shared" si="1"/>
        <v>1114.9347065288314</v>
      </c>
    </row>
    <row r="16" spans="1:17" x14ac:dyDescent="0.2">
      <c r="A16" t="s">
        <v>17</v>
      </c>
      <c r="B16" t="s">
        <v>18</v>
      </c>
      <c r="C16" t="s">
        <v>19</v>
      </c>
      <c r="D16" t="s">
        <v>29</v>
      </c>
      <c r="E16" t="s">
        <v>22</v>
      </c>
      <c r="I16">
        <v>55348.550000000025</v>
      </c>
      <c r="J16">
        <v>2</v>
      </c>
      <c r="K16">
        <v>27674.275000000012</v>
      </c>
      <c r="O16">
        <v>55348.550000000025</v>
      </c>
      <c r="P16">
        <f t="shared" si="0"/>
        <v>2</v>
      </c>
      <c r="Q16">
        <f t="shared" si="1"/>
        <v>27674.275000000012</v>
      </c>
    </row>
    <row r="17" spans="1:17" x14ac:dyDescent="0.2">
      <c r="A17" t="s">
        <v>17</v>
      </c>
      <c r="B17" t="s">
        <v>18</v>
      </c>
      <c r="C17" t="s">
        <v>30</v>
      </c>
      <c r="D17" t="s">
        <v>20</v>
      </c>
      <c r="E17" t="s">
        <v>21</v>
      </c>
      <c r="F17">
        <v>19</v>
      </c>
      <c r="G17">
        <v>22743.42</v>
      </c>
      <c r="H17">
        <v>432124.98</v>
      </c>
      <c r="I17">
        <v>361180.04999999964</v>
      </c>
      <c r="J17">
        <v>16</v>
      </c>
      <c r="K17">
        <v>22573.753124999977</v>
      </c>
      <c r="L17">
        <v>37</v>
      </c>
      <c r="M17">
        <v>33247.307027027033</v>
      </c>
      <c r="N17">
        <v>1230150.3600000001</v>
      </c>
      <c r="O17">
        <v>1230150.3600000001</v>
      </c>
      <c r="P17">
        <f t="shared" si="0"/>
        <v>37</v>
      </c>
      <c r="Q17">
        <f t="shared" si="1"/>
        <v>33247.307027027033</v>
      </c>
    </row>
    <row r="18" spans="1:17" x14ac:dyDescent="0.2">
      <c r="A18" t="s">
        <v>17</v>
      </c>
      <c r="B18" t="s">
        <v>18</v>
      </c>
      <c r="C18" t="s">
        <v>30</v>
      </c>
      <c r="D18" t="s">
        <v>20</v>
      </c>
      <c r="E18" t="s">
        <v>22</v>
      </c>
      <c r="F18">
        <v>56</v>
      </c>
      <c r="G18">
        <v>73814.144285714283</v>
      </c>
      <c r="H18">
        <v>4133592.0799999996</v>
      </c>
      <c r="I18">
        <v>5009944.770000021</v>
      </c>
      <c r="J18">
        <v>91</v>
      </c>
      <c r="K18">
        <v>55054.338131868361</v>
      </c>
      <c r="L18">
        <v>70</v>
      </c>
      <c r="M18">
        <v>33286.835857142854</v>
      </c>
      <c r="N18">
        <v>2330078.5099999998</v>
      </c>
      <c r="O18">
        <v>5009944.770000021</v>
      </c>
      <c r="P18">
        <f t="shared" si="0"/>
        <v>91</v>
      </c>
      <c r="Q18">
        <f t="shared" si="1"/>
        <v>55054.338131868361</v>
      </c>
    </row>
    <row r="19" spans="1:17" x14ac:dyDescent="0.2">
      <c r="A19" t="s">
        <v>17</v>
      </c>
      <c r="B19" t="s">
        <v>18</v>
      </c>
      <c r="C19" t="s">
        <v>30</v>
      </c>
      <c r="D19" t="s">
        <v>23</v>
      </c>
      <c r="E19" t="s">
        <v>21</v>
      </c>
      <c r="F19">
        <v>390</v>
      </c>
      <c r="G19">
        <v>6015.9565897435932</v>
      </c>
      <c r="H19">
        <v>2346223.0700000012</v>
      </c>
      <c r="I19">
        <v>2526806.1600000011</v>
      </c>
      <c r="J19">
        <v>336</v>
      </c>
      <c r="K19">
        <v>7520.2564285714316</v>
      </c>
      <c r="L19">
        <v>318</v>
      </c>
      <c r="M19">
        <v>4726.8377358490552</v>
      </c>
      <c r="N19">
        <v>1503134.3999999994</v>
      </c>
      <c r="O19">
        <v>2526806.1600000011</v>
      </c>
      <c r="P19">
        <f t="shared" si="0"/>
        <v>390</v>
      </c>
      <c r="Q19">
        <f t="shared" si="1"/>
        <v>6478.9901538461563</v>
      </c>
    </row>
    <row r="20" spans="1:17" x14ac:dyDescent="0.2">
      <c r="A20" t="s">
        <v>17</v>
      </c>
      <c r="B20" t="s">
        <v>18</v>
      </c>
      <c r="C20" t="s">
        <v>30</v>
      </c>
      <c r="D20" t="s">
        <v>23</v>
      </c>
      <c r="E20" t="s">
        <v>22</v>
      </c>
      <c r="F20">
        <v>2675</v>
      </c>
      <c r="G20">
        <v>4598.8354878504488</v>
      </c>
      <c r="H20">
        <v>12301884.929999951</v>
      </c>
      <c r="I20">
        <v>14155933.580000661</v>
      </c>
      <c r="J20">
        <v>2711</v>
      </c>
      <c r="K20">
        <v>5221.6649133163637</v>
      </c>
      <c r="L20">
        <v>1795</v>
      </c>
      <c r="M20">
        <v>3684.8224066852367</v>
      </c>
      <c r="N20">
        <v>6614256.2199999997</v>
      </c>
      <c r="O20">
        <v>14155933.580000661</v>
      </c>
      <c r="P20">
        <f t="shared" si="0"/>
        <v>2711</v>
      </c>
      <c r="Q20">
        <f t="shared" si="1"/>
        <v>5221.6649133163637</v>
      </c>
    </row>
    <row r="21" spans="1:17" x14ac:dyDescent="0.2">
      <c r="A21" t="s">
        <v>17</v>
      </c>
      <c r="B21" t="s">
        <v>18</v>
      </c>
      <c r="C21" t="s">
        <v>30</v>
      </c>
      <c r="D21" t="s">
        <v>24</v>
      </c>
      <c r="E21" t="s">
        <v>21</v>
      </c>
      <c r="G21">
        <v>0</v>
      </c>
      <c r="H21">
        <v>363637.02999999997</v>
      </c>
      <c r="I21">
        <v>675388.93999999855</v>
      </c>
      <c r="K21">
        <v>0</v>
      </c>
      <c r="M21">
        <v>0</v>
      </c>
      <c r="N21">
        <v>190752.14</v>
      </c>
      <c r="O21">
        <v>675388.93999999855</v>
      </c>
      <c r="P21">
        <f t="shared" si="0"/>
        <v>0</v>
      </c>
    </row>
    <row r="22" spans="1:17" x14ac:dyDescent="0.2">
      <c r="A22" t="s">
        <v>17</v>
      </c>
      <c r="B22" t="s">
        <v>18</v>
      </c>
      <c r="C22" t="s">
        <v>30</v>
      </c>
      <c r="D22" t="s">
        <v>24</v>
      </c>
      <c r="E22" t="s">
        <v>22</v>
      </c>
      <c r="G22">
        <v>0</v>
      </c>
      <c r="H22">
        <v>5017035.8800000083</v>
      </c>
      <c r="I22">
        <v>5108156.4099998772</v>
      </c>
      <c r="K22">
        <v>0</v>
      </c>
      <c r="M22">
        <v>0</v>
      </c>
      <c r="N22">
        <v>2234916.0100000002</v>
      </c>
      <c r="O22">
        <v>5108156.4099998772</v>
      </c>
      <c r="P22">
        <f t="shared" si="0"/>
        <v>0</v>
      </c>
    </row>
    <row r="23" spans="1:17" x14ac:dyDescent="0.2">
      <c r="A23" t="s">
        <v>17</v>
      </c>
      <c r="B23" t="s">
        <v>18</v>
      </c>
      <c r="C23" t="s">
        <v>30</v>
      </c>
      <c r="D23" t="s">
        <v>25</v>
      </c>
      <c r="E23" t="s">
        <v>21</v>
      </c>
      <c r="F23">
        <v>21</v>
      </c>
      <c r="G23">
        <v>87717.649047619052</v>
      </c>
      <c r="H23">
        <v>1842070.6300000001</v>
      </c>
      <c r="I23">
        <v>2023929.8800000125</v>
      </c>
      <c r="J23">
        <v>20</v>
      </c>
      <c r="K23">
        <v>101196.49400000062</v>
      </c>
      <c r="L23">
        <v>11</v>
      </c>
      <c r="M23">
        <v>23300.836363636361</v>
      </c>
      <c r="N23">
        <v>256309.19999999995</v>
      </c>
      <c r="O23">
        <v>2023929.8800000125</v>
      </c>
      <c r="P23">
        <f t="shared" si="0"/>
        <v>21</v>
      </c>
      <c r="Q23">
        <f t="shared" si="1"/>
        <v>96377.613333333924</v>
      </c>
    </row>
    <row r="24" spans="1:17" x14ac:dyDescent="0.2">
      <c r="A24" t="s">
        <v>17</v>
      </c>
      <c r="B24" t="s">
        <v>18</v>
      </c>
      <c r="C24" t="s">
        <v>30</v>
      </c>
      <c r="D24" t="s">
        <v>25</v>
      </c>
      <c r="E24" t="s">
        <v>22</v>
      </c>
      <c r="F24">
        <v>102</v>
      </c>
      <c r="G24">
        <v>82659.618627450982</v>
      </c>
      <c r="H24">
        <v>8431281.0999999996</v>
      </c>
      <c r="I24">
        <v>10358776.730000023</v>
      </c>
      <c r="J24">
        <v>127</v>
      </c>
      <c r="K24">
        <v>81565.171102362379</v>
      </c>
      <c r="L24">
        <v>80</v>
      </c>
      <c r="M24">
        <v>76041.055374999996</v>
      </c>
      <c r="N24">
        <v>6083284.4299999997</v>
      </c>
      <c r="O24">
        <v>10358776.730000023</v>
      </c>
      <c r="P24">
        <f t="shared" si="0"/>
        <v>127</v>
      </c>
      <c r="Q24">
        <f t="shared" si="1"/>
        <v>81565.171102362379</v>
      </c>
    </row>
    <row r="25" spans="1:17" x14ac:dyDescent="0.2">
      <c r="A25" t="s">
        <v>17</v>
      </c>
      <c r="B25" t="s">
        <v>18</v>
      </c>
      <c r="C25" t="s">
        <v>30</v>
      </c>
      <c r="D25" t="s">
        <v>26</v>
      </c>
      <c r="E25" t="s">
        <v>21</v>
      </c>
      <c r="F25">
        <v>87</v>
      </c>
      <c r="G25">
        <v>22892.284827586209</v>
      </c>
      <c r="H25">
        <v>1991628.7800000003</v>
      </c>
      <c r="I25">
        <v>2430321.2700000047</v>
      </c>
      <c r="J25">
        <v>89</v>
      </c>
      <c r="K25">
        <v>27306.980561797805</v>
      </c>
      <c r="L25">
        <v>101</v>
      </c>
      <c r="M25">
        <v>17806.960693069308</v>
      </c>
      <c r="N25">
        <v>1798503.03</v>
      </c>
      <c r="O25">
        <v>2430321.2700000047</v>
      </c>
      <c r="P25">
        <f t="shared" si="0"/>
        <v>101</v>
      </c>
      <c r="Q25">
        <f t="shared" si="1"/>
        <v>24062.586831683213</v>
      </c>
    </row>
    <row r="26" spans="1:17" x14ac:dyDescent="0.2">
      <c r="A26" t="s">
        <v>17</v>
      </c>
      <c r="B26" t="s">
        <v>18</v>
      </c>
      <c r="C26" t="s">
        <v>30</v>
      </c>
      <c r="D26" t="s">
        <v>26</v>
      </c>
      <c r="E26" t="s">
        <v>22</v>
      </c>
      <c r="F26">
        <v>801</v>
      </c>
      <c r="G26">
        <v>26803.647215980032</v>
      </c>
      <c r="H26">
        <v>21469721.420000006</v>
      </c>
      <c r="I26">
        <v>21945701.32999938</v>
      </c>
      <c r="J26">
        <v>850</v>
      </c>
      <c r="K26">
        <v>25818.472152940445</v>
      </c>
      <c r="L26">
        <v>482</v>
      </c>
      <c r="M26">
        <v>21986.162468879644</v>
      </c>
      <c r="N26">
        <v>10597330.309999987</v>
      </c>
      <c r="O26">
        <v>21945701.32999938</v>
      </c>
      <c r="P26">
        <f t="shared" si="0"/>
        <v>850</v>
      </c>
      <c r="Q26">
        <f t="shared" si="1"/>
        <v>25818.472152940445</v>
      </c>
    </row>
    <row r="27" spans="1:17" x14ac:dyDescent="0.2">
      <c r="A27" t="s">
        <v>17</v>
      </c>
      <c r="B27" t="s">
        <v>18</v>
      </c>
      <c r="C27" t="s">
        <v>30</v>
      </c>
      <c r="D27" t="s">
        <v>27</v>
      </c>
      <c r="E27" t="s">
        <v>21</v>
      </c>
      <c r="F27">
        <v>4</v>
      </c>
      <c r="G27">
        <v>42443.327499999992</v>
      </c>
      <c r="H27">
        <v>169773.30999999997</v>
      </c>
      <c r="I27">
        <v>7796.7999999999993</v>
      </c>
      <c r="J27">
        <v>2</v>
      </c>
      <c r="K27">
        <v>3898.3999999999996</v>
      </c>
      <c r="O27">
        <v>169773.30999999997</v>
      </c>
      <c r="P27">
        <f t="shared" si="0"/>
        <v>4</v>
      </c>
      <c r="Q27">
        <f t="shared" si="1"/>
        <v>42443.327499999992</v>
      </c>
    </row>
    <row r="28" spans="1:17" x14ac:dyDescent="0.2">
      <c r="A28" t="s">
        <v>17</v>
      </c>
      <c r="B28" t="s">
        <v>18</v>
      </c>
      <c r="C28" t="s">
        <v>30</v>
      </c>
      <c r="D28" t="s">
        <v>27</v>
      </c>
      <c r="E28" t="s">
        <v>22</v>
      </c>
      <c r="F28">
        <v>5</v>
      </c>
      <c r="G28">
        <v>26942.473999999998</v>
      </c>
      <c r="H28">
        <v>134712.37</v>
      </c>
      <c r="L28">
        <v>3</v>
      </c>
      <c r="M28">
        <v>16645.609999999997</v>
      </c>
      <c r="N28">
        <v>49936.829999999994</v>
      </c>
      <c r="O28">
        <v>134712.37</v>
      </c>
      <c r="P28">
        <f t="shared" si="0"/>
        <v>5</v>
      </c>
      <c r="Q28">
        <f t="shared" si="1"/>
        <v>26942.473999999998</v>
      </c>
    </row>
    <row r="29" spans="1:17" x14ac:dyDescent="0.2">
      <c r="A29" t="s">
        <v>17</v>
      </c>
      <c r="B29" t="s">
        <v>18</v>
      </c>
      <c r="C29" t="s">
        <v>30</v>
      </c>
      <c r="D29" t="s">
        <v>28</v>
      </c>
      <c r="E29" t="s">
        <v>21</v>
      </c>
      <c r="F29">
        <v>2575</v>
      </c>
      <c r="G29">
        <v>915.57478058252445</v>
      </c>
      <c r="H29">
        <v>2357605.0600000005</v>
      </c>
      <c r="I29">
        <v>2587261.8899999913</v>
      </c>
      <c r="J29">
        <v>2384</v>
      </c>
      <c r="K29">
        <v>1085.2608598993252</v>
      </c>
      <c r="L29">
        <v>2105</v>
      </c>
      <c r="M29">
        <v>910.50215676959647</v>
      </c>
      <c r="N29">
        <v>1916607.0400000005</v>
      </c>
      <c r="O29">
        <v>2587261.8899999913</v>
      </c>
      <c r="P29">
        <f t="shared" si="0"/>
        <v>2575</v>
      </c>
      <c r="Q29">
        <f t="shared" si="1"/>
        <v>1004.7618990291228</v>
      </c>
    </row>
    <row r="30" spans="1:17" x14ac:dyDescent="0.2">
      <c r="A30" t="s">
        <v>17</v>
      </c>
      <c r="B30" t="s">
        <v>18</v>
      </c>
      <c r="C30" t="s">
        <v>30</v>
      </c>
      <c r="D30" t="s">
        <v>28</v>
      </c>
      <c r="E30" t="s">
        <v>22</v>
      </c>
      <c r="F30">
        <v>28383</v>
      </c>
      <c r="G30">
        <v>1115.5253993587708</v>
      </c>
      <c r="H30">
        <v>31661957.409999989</v>
      </c>
      <c r="I30">
        <v>34032723.880000994</v>
      </c>
      <c r="J30">
        <v>28376</v>
      </c>
      <c r="K30">
        <v>1199.3488821539679</v>
      </c>
      <c r="L30">
        <v>16606</v>
      </c>
      <c r="M30">
        <v>909.17425809948259</v>
      </c>
      <c r="N30">
        <v>15097747.730000008</v>
      </c>
      <c r="O30">
        <v>34032723.880000994</v>
      </c>
      <c r="P30">
        <f t="shared" si="0"/>
        <v>28383</v>
      </c>
      <c r="Q30">
        <f t="shared" si="1"/>
        <v>1199.0530909347494</v>
      </c>
    </row>
    <row r="31" spans="1:17" x14ac:dyDescent="0.2">
      <c r="A31" t="s">
        <v>17</v>
      </c>
      <c r="B31" t="s">
        <v>18</v>
      </c>
      <c r="C31" t="s">
        <v>30</v>
      </c>
      <c r="D31" t="s">
        <v>29</v>
      </c>
      <c r="E31" t="s">
        <v>22</v>
      </c>
      <c r="I31">
        <v>67092.709999999963</v>
      </c>
      <c r="J31">
        <v>2</v>
      </c>
      <c r="K31">
        <v>33546.354999999981</v>
      </c>
      <c r="O31">
        <v>67092.709999999963</v>
      </c>
      <c r="P31">
        <f t="shared" si="0"/>
        <v>2</v>
      </c>
      <c r="Q31">
        <f t="shared" si="1"/>
        <v>33546.354999999981</v>
      </c>
    </row>
    <row r="32" spans="1:17" x14ac:dyDescent="0.2">
      <c r="A32" t="s">
        <v>17</v>
      </c>
      <c r="B32" t="s">
        <v>18</v>
      </c>
      <c r="C32" t="s">
        <v>31</v>
      </c>
      <c r="D32" t="s">
        <v>20</v>
      </c>
      <c r="E32" t="s">
        <v>21</v>
      </c>
      <c r="F32">
        <v>19</v>
      </c>
      <c r="G32">
        <v>22743.42</v>
      </c>
      <c r="H32">
        <v>432124.98</v>
      </c>
      <c r="I32">
        <v>192709.15000000005</v>
      </c>
      <c r="J32">
        <v>4</v>
      </c>
      <c r="K32">
        <v>48177.287500000013</v>
      </c>
      <c r="L32">
        <v>36</v>
      </c>
      <c r="M32">
        <v>29862.102777777782</v>
      </c>
      <c r="N32">
        <v>1075035.7000000002</v>
      </c>
      <c r="O32">
        <v>1075035.7000000002</v>
      </c>
      <c r="P32">
        <f t="shared" si="0"/>
        <v>36</v>
      </c>
      <c r="Q32">
        <f t="shared" si="1"/>
        <v>29862.102777777782</v>
      </c>
    </row>
    <row r="33" spans="1:17" x14ac:dyDescent="0.2">
      <c r="A33" t="s">
        <v>17</v>
      </c>
      <c r="B33" t="s">
        <v>18</v>
      </c>
      <c r="C33" t="s">
        <v>31</v>
      </c>
      <c r="D33" t="s">
        <v>20</v>
      </c>
      <c r="E33" t="s">
        <v>22</v>
      </c>
      <c r="F33">
        <v>57</v>
      </c>
      <c r="G33">
        <v>73905.697543859642</v>
      </c>
      <c r="H33">
        <v>4212624.76</v>
      </c>
      <c r="I33">
        <v>1601824.9700000018</v>
      </c>
      <c r="J33">
        <v>39</v>
      </c>
      <c r="K33">
        <v>41072.435128205172</v>
      </c>
      <c r="L33">
        <v>67</v>
      </c>
      <c r="M33">
        <v>38750.911194029861</v>
      </c>
      <c r="N33">
        <v>2596311.0500000007</v>
      </c>
      <c r="O33">
        <v>4212624.76</v>
      </c>
      <c r="P33">
        <f t="shared" si="0"/>
        <v>67</v>
      </c>
      <c r="Q33">
        <f t="shared" si="1"/>
        <v>62874.996417910443</v>
      </c>
    </row>
    <row r="34" spans="1:17" x14ac:dyDescent="0.2">
      <c r="A34" t="s">
        <v>17</v>
      </c>
      <c r="B34" t="s">
        <v>18</v>
      </c>
      <c r="C34" t="s">
        <v>31</v>
      </c>
      <c r="D34" t="s">
        <v>23</v>
      </c>
      <c r="E34" t="s">
        <v>21</v>
      </c>
      <c r="F34">
        <v>401</v>
      </c>
      <c r="G34">
        <v>6175.7805735660877</v>
      </c>
      <c r="H34">
        <v>2476488.0100000012</v>
      </c>
      <c r="I34">
        <v>796148.13999999897</v>
      </c>
      <c r="J34">
        <v>128</v>
      </c>
      <c r="K34">
        <v>6219.9073437499919</v>
      </c>
      <c r="L34">
        <v>392</v>
      </c>
      <c r="M34">
        <v>4657.2663010204096</v>
      </c>
      <c r="N34">
        <v>1825648.3900000006</v>
      </c>
      <c r="O34">
        <v>2476488.0100000012</v>
      </c>
      <c r="P34">
        <f t="shared" si="0"/>
        <v>401</v>
      </c>
      <c r="Q34">
        <f t="shared" si="1"/>
        <v>6175.7805735660877</v>
      </c>
    </row>
    <row r="35" spans="1:17" x14ac:dyDescent="0.2">
      <c r="A35" t="s">
        <v>17</v>
      </c>
      <c r="B35" t="s">
        <v>18</v>
      </c>
      <c r="C35" t="s">
        <v>31</v>
      </c>
      <c r="D35" t="s">
        <v>23</v>
      </c>
      <c r="E35" t="s">
        <v>22</v>
      </c>
      <c r="F35">
        <v>2769</v>
      </c>
      <c r="G35">
        <v>4599.23106536654</v>
      </c>
      <c r="H35">
        <v>12735270.819999948</v>
      </c>
      <c r="I35">
        <v>5580711.33000011</v>
      </c>
      <c r="J35">
        <v>1110</v>
      </c>
      <c r="K35">
        <v>5027.667864864964</v>
      </c>
      <c r="L35">
        <v>2055</v>
      </c>
      <c r="M35">
        <v>3961.8916204379502</v>
      </c>
      <c r="N35">
        <v>8141687.2799999882</v>
      </c>
      <c r="O35">
        <v>12735270.819999948</v>
      </c>
      <c r="P35">
        <f t="shared" si="0"/>
        <v>2769</v>
      </c>
      <c r="Q35">
        <f t="shared" si="1"/>
        <v>4599.23106536654</v>
      </c>
    </row>
    <row r="36" spans="1:17" x14ac:dyDescent="0.2">
      <c r="A36" t="s">
        <v>17</v>
      </c>
      <c r="B36" t="s">
        <v>18</v>
      </c>
      <c r="C36" t="s">
        <v>31</v>
      </c>
      <c r="D36" t="s">
        <v>24</v>
      </c>
      <c r="E36" t="s">
        <v>21</v>
      </c>
      <c r="G36">
        <v>0</v>
      </c>
      <c r="H36">
        <v>370664.05999999988</v>
      </c>
      <c r="I36">
        <v>216589.59999999986</v>
      </c>
      <c r="K36">
        <v>0</v>
      </c>
      <c r="M36">
        <v>0</v>
      </c>
      <c r="N36">
        <v>264630.01</v>
      </c>
      <c r="O36">
        <v>370664.05999999988</v>
      </c>
      <c r="P36">
        <f t="shared" si="0"/>
        <v>0</v>
      </c>
    </row>
    <row r="37" spans="1:17" x14ac:dyDescent="0.2">
      <c r="A37" t="s">
        <v>17</v>
      </c>
      <c r="B37" t="s">
        <v>18</v>
      </c>
      <c r="C37" t="s">
        <v>31</v>
      </c>
      <c r="D37" t="s">
        <v>24</v>
      </c>
      <c r="E37" t="s">
        <v>22</v>
      </c>
      <c r="G37">
        <v>0</v>
      </c>
      <c r="H37">
        <v>5126927.2400000095</v>
      </c>
      <c r="I37">
        <v>1832819.7300000289</v>
      </c>
      <c r="K37">
        <v>0</v>
      </c>
      <c r="M37">
        <v>0</v>
      </c>
      <c r="N37">
        <v>2740867.0100000002</v>
      </c>
      <c r="O37">
        <v>5126927.2400000095</v>
      </c>
      <c r="P37">
        <f t="shared" si="0"/>
        <v>0</v>
      </c>
    </row>
    <row r="38" spans="1:17" x14ac:dyDescent="0.2">
      <c r="A38" t="s">
        <v>17</v>
      </c>
      <c r="B38" t="s">
        <v>18</v>
      </c>
      <c r="C38" t="s">
        <v>31</v>
      </c>
      <c r="D38" t="s">
        <v>25</v>
      </c>
      <c r="E38" t="s">
        <v>21</v>
      </c>
      <c r="F38">
        <v>25</v>
      </c>
      <c r="G38">
        <v>89423.735999999975</v>
      </c>
      <c r="H38">
        <v>2235593.3999999994</v>
      </c>
      <c r="I38">
        <v>681467.09999999846</v>
      </c>
      <c r="J38">
        <v>8</v>
      </c>
      <c r="K38">
        <v>85183.387499999808</v>
      </c>
      <c r="L38">
        <v>13</v>
      </c>
      <c r="M38">
        <v>143065.06000000003</v>
      </c>
      <c r="N38">
        <v>1859845.7800000005</v>
      </c>
      <c r="O38">
        <v>2235593.3999999994</v>
      </c>
      <c r="P38">
        <f t="shared" si="0"/>
        <v>25</v>
      </c>
      <c r="Q38">
        <f t="shared" si="1"/>
        <v>89423.735999999975</v>
      </c>
    </row>
    <row r="39" spans="1:17" x14ac:dyDescent="0.2">
      <c r="A39" t="s">
        <v>17</v>
      </c>
      <c r="B39" t="s">
        <v>18</v>
      </c>
      <c r="C39" t="s">
        <v>31</v>
      </c>
      <c r="D39" t="s">
        <v>25</v>
      </c>
      <c r="E39" t="s">
        <v>22</v>
      </c>
      <c r="F39">
        <v>104</v>
      </c>
      <c r="G39">
        <v>83247.259999999995</v>
      </c>
      <c r="H39">
        <v>8657715.0399999991</v>
      </c>
      <c r="I39">
        <v>3123227.0800000094</v>
      </c>
      <c r="J39">
        <v>35</v>
      </c>
      <c r="K39">
        <v>89235.059428571694</v>
      </c>
      <c r="L39">
        <v>83</v>
      </c>
      <c r="M39">
        <v>76762.03216867469</v>
      </c>
      <c r="N39">
        <v>6371248.669999999</v>
      </c>
      <c r="O39">
        <v>8657715.0399999991</v>
      </c>
      <c r="P39">
        <f t="shared" si="0"/>
        <v>104</v>
      </c>
      <c r="Q39">
        <f t="shared" si="1"/>
        <v>83247.259999999995</v>
      </c>
    </row>
    <row r="40" spans="1:17" x14ac:dyDescent="0.2">
      <c r="A40" t="s">
        <v>17</v>
      </c>
      <c r="B40" t="s">
        <v>18</v>
      </c>
      <c r="C40" t="s">
        <v>31</v>
      </c>
      <c r="D40" t="s">
        <v>26</v>
      </c>
      <c r="E40" t="s">
        <v>21</v>
      </c>
      <c r="F40">
        <v>88</v>
      </c>
      <c r="G40">
        <v>23399.986250000002</v>
      </c>
      <c r="H40">
        <v>2059198.7900000003</v>
      </c>
      <c r="I40">
        <v>904023.67999999993</v>
      </c>
      <c r="J40">
        <v>30</v>
      </c>
      <c r="K40">
        <v>30134.122666666666</v>
      </c>
      <c r="L40">
        <v>114</v>
      </c>
      <c r="M40">
        <v>23023.695350877188</v>
      </c>
      <c r="N40">
        <v>2624701.2699999996</v>
      </c>
      <c r="O40">
        <v>2624701.2699999996</v>
      </c>
      <c r="P40">
        <f t="shared" si="0"/>
        <v>114</v>
      </c>
      <c r="Q40">
        <f t="shared" si="1"/>
        <v>23023.695350877188</v>
      </c>
    </row>
    <row r="41" spans="1:17" x14ac:dyDescent="0.2">
      <c r="A41" t="s">
        <v>17</v>
      </c>
      <c r="B41" t="s">
        <v>18</v>
      </c>
      <c r="C41" t="s">
        <v>31</v>
      </c>
      <c r="D41" t="s">
        <v>26</v>
      </c>
      <c r="E41" t="s">
        <v>22</v>
      </c>
      <c r="F41">
        <v>840</v>
      </c>
      <c r="G41">
        <v>26503.836666666673</v>
      </c>
      <c r="H41">
        <v>22263222.800000004</v>
      </c>
      <c r="I41">
        <v>9025314.5599999279</v>
      </c>
      <c r="J41">
        <v>363</v>
      </c>
      <c r="K41">
        <v>24863.125509641675</v>
      </c>
      <c r="L41">
        <v>695</v>
      </c>
      <c r="M41">
        <v>22209.039942446012</v>
      </c>
      <c r="N41">
        <v>15435282.759999977</v>
      </c>
      <c r="O41">
        <v>22263222.800000004</v>
      </c>
      <c r="P41">
        <f t="shared" si="0"/>
        <v>840</v>
      </c>
      <c r="Q41">
        <f t="shared" si="1"/>
        <v>26503.836666666673</v>
      </c>
    </row>
    <row r="42" spans="1:17" x14ac:dyDescent="0.2">
      <c r="A42" t="s">
        <v>17</v>
      </c>
      <c r="B42" t="s">
        <v>18</v>
      </c>
      <c r="C42" t="s">
        <v>31</v>
      </c>
      <c r="D42" t="s">
        <v>27</v>
      </c>
      <c r="E42" t="s">
        <v>21</v>
      </c>
      <c r="F42">
        <v>4</v>
      </c>
      <c r="G42">
        <v>42522.704999999987</v>
      </c>
      <c r="H42">
        <v>170090.81999999995</v>
      </c>
      <c r="I42">
        <v>306.10000000000002</v>
      </c>
      <c r="J42">
        <v>1</v>
      </c>
      <c r="K42">
        <v>306.10000000000002</v>
      </c>
      <c r="O42">
        <v>170090.81999999995</v>
      </c>
      <c r="P42">
        <f t="shared" si="0"/>
        <v>4</v>
      </c>
      <c r="Q42">
        <f t="shared" si="1"/>
        <v>42522.704999999987</v>
      </c>
    </row>
    <row r="43" spans="1:17" x14ac:dyDescent="0.2">
      <c r="A43" t="s">
        <v>17</v>
      </c>
      <c r="B43" t="s">
        <v>18</v>
      </c>
      <c r="C43" t="s">
        <v>31</v>
      </c>
      <c r="D43" t="s">
        <v>27</v>
      </c>
      <c r="E43" t="s">
        <v>22</v>
      </c>
      <c r="F43">
        <v>5</v>
      </c>
      <c r="G43">
        <v>26942.473999999998</v>
      </c>
      <c r="H43">
        <v>134712.37</v>
      </c>
      <c r="L43">
        <v>3</v>
      </c>
      <c r="M43">
        <v>62278.426666666659</v>
      </c>
      <c r="N43">
        <v>186835.27999999997</v>
      </c>
      <c r="O43">
        <v>186835.27999999997</v>
      </c>
      <c r="P43">
        <f t="shared" si="0"/>
        <v>5</v>
      </c>
      <c r="Q43">
        <f t="shared" si="1"/>
        <v>37367.055999999997</v>
      </c>
    </row>
    <row r="44" spans="1:17" x14ac:dyDescent="0.2">
      <c r="A44" t="s">
        <v>17</v>
      </c>
      <c r="B44" t="s">
        <v>18</v>
      </c>
      <c r="C44" t="s">
        <v>31</v>
      </c>
      <c r="D44" t="s">
        <v>28</v>
      </c>
      <c r="E44" t="s">
        <v>21</v>
      </c>
      <c r="F44">
        <v>2654</v>
      </c>
      <c r="G44">
        <v>905.88362094951026</v>
      </c>
      <c r="H44">
        <v>2404215.1300000004</v>
      </c>
      <c r="I44">
        <v>998570.4300000004</v>
      </c>
      <c r="J44">
        <v>881</v>
      </c>
      <c r="K44">
        <v>1133.4511123723046</v>
      </c>
      <c r="L44">
        <v>2366</v>
      </c>
      <c r="M44">
        <v>881.22426458157247</v>
      </c>
      <c r="N44">
        <v>2084976.6100000003</v>
      </c>
      <c r="O44">
        <v>2404215.1300000004</v>
      </c>
      <c r="P44">
        <f t="shared" si="0"/>
        <v>2654</v>
      </c>
      <c r="Q44">
        <f t="shared" si="1"/>
        <v>905.88362094951026</v>
      </c>
    </row>
    <row r="45" spans="1:17" x14ac:dyDescent="0.2">
      <c r="A45" t="s">
        <v>17</v>
      </c>
      <c r="B45" t="s">
        <v>18</v>
      </c>
      <c r="C45" t="s">
        <v>31</v>
      </c>
      <c r="D45" t="s">
        <v>28</v>
      </c>
      <c r="E45" t="s">
        <v>22</v>
      </c>
      <c r="F45">
        <v>29117</v>
      </c>
      <c r="G45">
        <v>1114.9347065288314</v>
      </c>
      <c r="H45">
        <v>32463553.849999987</v>
      </c>
      <c r="I45">
        <v>14129989.070000112</v>
      </c>
      <c r="J45">
        <v>10900</v>
      </c>
      <c r="K45">
        <v>1296.3292724770745</v>
      </c>
      <c r="L45">
        <v>20101</v>
      </c>
      <c r="M45">
        <v>936.18910800457718</v>
      </c>
      <c r="N45">
        <v>18818337.260000005</v>
      </c>
      <c r="O45">
        <v>32463553.849999987</v>
      </c>
      <c r="P45">
        <f t="shared" si="0"/>
        <v>29117</v>
      </c>
      <c r="Q45">
        <f t="shared" si="1"/>
        <v>1114.9347065288314</v>
      </c>
    </row>
    <row r="46" spans="1:17" x14ac:dyDescent="0.2">
      <c r="A46" t="s">
        <v>17</v>
      </c>
      <c r="B46" t="s">
        <v>18</v>
      </c>
      <c r="C46" t="s">
        <v>31</v>
      </c>
      <c r="D46" t="s">
        <v>29</v>
      </c>
      <c r="E46" t="s">
        <v>21</v>
      </c>
      <c r="I46">
        <v>26123.780000000002</v>
      </c>
      <c r="J46">
        <v>1</v>
      </c>
      <c r="K46">
        <v>26123.780000000002</v>
      </c>
      <c r="O46">
        <v>26123.780000000002</v>
      </c>
      <c r="P46">
        <f t="shared" si="0"/>
        <v>1</v>
      </c>
      <c r="Q46">
        <f t="shared" si="1"/>
        <v>26123.780000000002</v>
      </c>
    </row>
    <row r="47" spans="1:17" x14ac:dyDescent="0.2">
      <c r="A47" t="s">
        <v>17</v>
      </c>
      <c r="B47" t="s">
        <v>18</v>
      </c>
      <c r="C47" t="s">
        <v>31</v>
      </c>
      <c r="D47" t="s">
        <v>29</v>
      </c>
      <c r="E47" t="s">
        <v>22</v>
      </c>
      <c r="I47">
        <v>7150.4</v>
      </c>
      <c r="J47">
        <v>1</v>
      </c>
      <c r="K47">
        <v>7150.4</v>
      </c>
      <c r="O47">
        <v>7150.4</v>
      </c>
      <c r="P47">
        <f t="shared" si="0"/>
        <v>1</v>
      </c>
      <c r="Q47">
        <f t="shared" si="1"/>
        <v>7150.4</v>
      </c>
    </row>
    <row r="48" spans="1:17" x14ac:dyDescent="0.2">
      <c r="A48" t="s">
        <v>17</v>
      </c>
      <c r="B48" t="s">
        <v>32</v>
      </c>
      <c r="C48" t="s">
        <v>19</v>
      </c>
      <c r="D48" t="s">
        <v>20</v>
      </c>
      <c r="E48" t="s">
        <v>21</v>
      </c>
      <c r="F48">
        <v>20</v>
      </c>
      <c r="G48">
        <v>65947.551000000007</v>
      </c>
      <c r="H48">
        <v>1318951.02</v>
      </c>
      <c r="I48">
        <v>754282.14000000071</v>
      </c>
      <c r="J48">
        <v>11</v>
      </c>
      <c r="K48">
        <v>68571.103636363696</v>
      </c>
      <c r="L48">
        <v>10</v>
      </c>
      <c r="M48">
        <v>67203.75999999998</v>
      </c>
      <c r="N48">
        <v>672037.59999999974</v>
      </c>
      <c r="O48">
        <v>1318951.02</v>
      </c>
      <c r="P48">
        <f t="shared" si="0"/>
        <v>20</v>
      </c>
      <c r="Q48">
        <f t="shared" si="1"/>
        <v>65947.551000000007</v>
      </c>
    </row>
    <row r="49" spans="1:17" x14ac:dyDescent="0.2">
      <c r="A49" t="s">
        <v>17</v>
      </c>
      <c r="B49" t="s">
        <v>32</v>
      </c>
      <c r="C49" t="s">
        <v>19</v>
      </c>
      <c r="D49" t="s">
        <v>20</v>
      </c>
      <c r="E49" t="s">
        <v>22</v>
      </c>
      <c r="F49">
        <v>67</v>
      </c>
      <c r="G49">
        <v>58272.578507462691</v>
      </c>
      <c r="H49">
        <v>3904262.7600000002</v>
      </c>
      <c r="I49">
        <v>3858874.360000011</v>
      </c>
      <c r="J49">
        <v>61</v>
      </c>
      <c r="K49">
        <v>63260.235409836248</v>
      </c>
      <c r="L49">
        <v>53</v>
      </c>
      <c r="M49">
        <v>67007.380377358495</v>
      </c>
      <c r="N49">
        <v>3551391.16</v>
      </c>
      <c r="O49">
        <v>3904262.7600000002</v>
      </c>
      <c r="P49">
        <f t="shared" si="0"/>
        <v>67</v>
      </c>
      <c r="Q49">
        <f t="shared" si="1"/>
        <v>58272.578507462691</v>
      </c>
    </row>
    <row r="50" spans="1:17" x14ac:dyDescent="0.2">
      <c r="A50" t="s">
        <v>17</v>
      </c>
      <c r="B50" t="s">
        <v>32</v>
      </c>
      <c r="C50" t="s">
        <v>19</v>
      </c>
      <c r="D50" t="s">
        <v>23</v>
      </c>
      <c r="E50" t="s">
        <v>21</v>
      </c>
      <c r="F50">
        <v>921</v>
      </c>
      <c r="G50">
        <v>2091.5905211726385</v>
      </c>
      <c r="H50">
        <v>1926354.87</v>
      </c>
      <c r="I50">
        <v>1647432.110000001</v>
      </c>
      <c r="J50">
        <v>655</v>
      </c>
      <c r="K50">
        <v>2515.1635267175589</v>
      </c>
      <c r="L50">
        <v>670</v>
      </c>
      <c r="M50">
        <v>2015.1652835820898</v>
      </c>
      <c r="N50">
        <v>1350160.7400000002</v>
      </c>
      <c r="O50">
        <v>1926354.87</v>
      </c>
      <c r="P50">
        <f t="shared" si="0"/>
        <v>921</v>
      </c>
      <c r="Q50">
        <f t="shared" si="1"/>
        <v>2091.5905211726385</v>
      </c>
    </row>
    <row r="51" spans="1:17" x14ac:dyDescent="0.2">
      <c r="A51" t="s">
        <v>17</v>
      </c>
      <c r="B51" t="s">
        <v>32</v>
      </c>
      <c r="C51" t="s">
        <v>19</v>
      </c>
      <c r="D51" t="s">
        <v>23</v>
      </c>
      <c r="E51" t="s">
        <v>22</v>
      </c>
      <c r="F51">
        <v>2759</v>
      </c>
      <c r="G51">
        <v>3710.5000797390376</v>
      </c>
      <c r="H51">
        <v>10237269.720000004</v>
      </c>
      <c r="I51">
        <v>8897510.9499998875</v>
      </c>
      <c r="J51">
        <v>2041</v>
      </c>
      <c r="K51">
        <v>4359.3880205780924</v>
      </c>
      <c r="L51">
        <v>1964</v>
      </c>
      <c r="M51">
        <v>2953.1239511201593</v>
      </c>
      <c r="N51">
        <v>5799935.439999993</v>
      </c>
      <c r="O51">
        <v>10237269.720000004</v>
      </c>
      <c r="P51">
        <f t="shared" si="0"/>
        <v>2759</v>
      </c>
      <c r="Q51">
        <f t="shared" si="1"/>
        <v>3710.5000797390376</v>
      </c>
    </row>
    <row r="52" spans="1:17" x14ac:dyDescent="0.2">
      <c r="A52" t="s">
        <v>17</v>
      </c>
      <c r="B52" t="s">
        <v>32</v>
      </c>
      <c r="C52" t="s">
        <v>19</v>
      </c>
      <c r="D52" t="s">
        <v>24</v>
      </c>
      <c r="E52" t="s">
        <v>21</v>
      </c>
      <c r="G52">
        <v>0</v>
      </c>
      <c r="H52">
        <v>991642.23</v>
      </c>
      <c r="I52">
        <v>811613.4599999995</v>
      </c>
      <c r="K52">
        <v>0</v>
      </c>
      <c r="M52">
        <v>0</v>
      </c>
      <c r="N52">
        <v>470034.72000000009</v>
      </c>
      <c r="O52">
        <v>991642.23</v>
      </c>
      <c r="P52">
        <f t="shared" si="0"/>
        <v>0</v>
      </c>
    </row>
    <row r="53" spans="1:17" x14ac:dyDescent="0.2">
      <c r="A53" t="s">
        <v>17</v>
      </c>
      <c r="B53" t="s">
        <v>32</v>
      </c>
      <c r="C53" t="s">
        <v>19</v>
      </c>
      <c r="D53" t="s">
        <v>24</v>
      </c>
      <c r="E53" t="s">
        <v>22</v>
      </c>
      <c r="G53">
        <v>0</v>
      </c>
      <c r="H53">
        <v>5508064.8400000036</v>
      </c>
      <c r="I53">
        <v>3946710.3000000147</v>
      </c>
      <c r="K53">
        <v>0</v>
      </c>
      <c r="M53">
        <v>0</v>
      </c>
      <c r="N53">
        <v>3311102.5199999991</v>
      </c>
      <c r="O53">
        <v>5508064.8400000036</v>
      </c>
      <c r="P53">
        <f t="shared" si="0"/>
        <v>0</v>
      </c>
    </row>
    <row r="54" spans="1:17" x14ac:dyDescent="0.2">
      <c r="A54" t="s">
        <v>17</v>
      </c>
      <c r="B54" t="s">
        <v>32</v>
      </c>
      <c r="C54" t="s">
        <v>19</v>
      </c>
      <c r="D54" t="s">
        <v>25</v>
      </c>
      <c r="E54" t="s">
        <v>21</v>
      </c>
      <c r="F54">
        <v>37</v>
      </c>
      <c r="G54">
        <v>98157.054324324316</v>
      </c>
      <c r="H54">
        <v>3631811.01</v>
      </c>
      <c r="I54">
        <v>2873972.3500000122</v>
      </c>
      <c r="J54">
        <v>17</v>
      </c>
      <c r="K54">
        <v>169057.19705882424</v>
      </c>
      <c r="L54">
        <v>26</v>
      </c>
      <c r="M54">
        <v>61822.671923076923</v>
      </c>
      <c r="N54">
        <v>1607389.47</v>
      </c>
      <c r="O54">
        <v>3631811.01</v>
      </c>
      <c r="P54">
        <f t="shared" si="0"/>
        <v>37</v>
      </c>
      <c r="Q54">
        <f t="shared" si="1"/>
        <v>98157.054324324316</v>
      </c>
    </row>
    <row r="55" spans="1:17" x14ac:dyDescent="0.2">
      <c r="A55" t="s">
        <v>17</v>
      </c>
      <c r="B55" t="s">
        <v>32</v>
      </c>
      <c r="C55" t="s">
        <v>19</v>
      </c>
      <c r="D55" t="s">
        <v>25</v>
      </c>
      <c r="E55" t="s">
        <v>22</v>
      </c>
      <c r="F55">
        <v>113</v>
      </c>
      <c r="G55">
        <v>154038.314159292</v>
      </c>
      <c r="H55">
        <v>17406329.499999996</v>
      </c>
      <c r="I55">
        <v>18469909.680000238</v>
      </c>
      <c r="J55">
        <v>107</v>
      </c>
      <c r="K55">
        <v>172615.97831775923</v>
      </c>
      <c r="L55">
        <v>117</v>
      </c>
      <c r="M55">
        <v>104801.46555555557</v>
      </c>
      <c r="N55">
        <v>12261771.470000001</v>
      </c>
      <c r="O55">
        <v>18469909.680000238</v>
      </c>
      <c r="P55">
        <f t="shared" si="0"/>
        <v>117</v>
      </c>
      <c r="Q55">
        <f t="shared" si="1"/>
        <v>157862.47589743792</v>
      </c>
    </row>
    <row r="56" spans="1:17" x14ac:dyDescent="0.2">
      <c r="A56" t="s">
        <v>17</v>
      </c>
      <c r="B56" t="s">
        <v>32</v>
      </c>
      <c r="C56" t="s">
        <v>19</v>
      </c>
      <c r="D56" t="s">
        <v>26</v>
      </c>
      <c r="E56" t="s">
        <v>21</v>
      </c>
      <c r="F56">
        <v>167</v>
      </c>
      <c r="G56">
        <v>19351.430658682639</v>
      </c>
      <c r="H56">
        <v>3231688.9200000004</v>
      </c>
      <c r="I56">
        <v>1988675.570000001</v>
      </c>
      <c r="J56">
        <v>78</v>
      </c>
      <c r="K56">
        <v>25495.840641025654</v>
      </c>
      <c r="L56">
        <v>116</v>
      </c>
      <c r="M56">
        <v>19772.998448275866</v>
      </c>
      <c r="N56">
        <v>2293667.8200000003</v>
      </c>
      <c r="O56">
        <v>3231688.9200000004</v>
      </c>
      <c r="P56">
        <f t="shared" si="0"/>
        <v>167</v>
      </c>
      <c r="Q56">
        <f t="shared" si="1"/>
        <v>19351.430658682639</v>
      </c>
    </row>
    <row r="57" spans="1:17" x14ac:dyDescent="0.2">
      <c r="A57" t="s">
        <v>17</v>
      </c>
      <c r="B57" t="s">
        <v>32</v>
      </c>
      <c r="C57" t="s">
        <v>19</v>
      </c>
      <c r="D57" t="s">
        <v>26</v>
      </c>
      <c r="E57" t="s">
        <v>22</v>
      </c>
      <c r="F57">
        <v>760</v>
      </c>
      <c r="G57">
        <v>26135.33552631579</v>
      </c>
      <c r="H57">
        <v>19862855</v>
      </c>
      <c r="I57">
        <v>15471256.930000039</v>
      </c>
      <c r="J57">
        <v>484</v>
      </c>
      <c r="K57">
        <v>31965.40688016537</v>
      </c>
      <c r="L57">
        <v>631</v>
      </c>
      <c r="M57">
        <v>22713.070729001585</v>
      </c>
      <c r="N57">
        <v>14331947.630000001</v>
      </c>
      <c r="O57">
        <v>19862855</v>
      </c>
      <c r="P57">
        <f t="shared" si="0"/>
        <v>760</v>
      </c>
      <c r="Q57">
        <f t="shared" si="1"/>
        <v>26135.33552631579</v>
      </c>
    </row>
    <row r="58" spans="1:17" x14ac:dyDescent="0.2">
      <c r="A58" t="s">
        <v>17</v>
      </c>
      <c r="B58" t="s">
        <v>32</v>
      </c>
      <c r="C58" t="s">
        <v>19</v>
      </c>
      <c r="D58" t="s">
        <v>28</v>
      </c>
      <c r="E58" t="s">
        <v>21</v>
      </c>
      <c r="F58">
        <v>2503</v>
      </c>
      <c r="G58">
        <v>857.96825409508597</v>
      </c>
      <c r="H58">
        <v>2147494.54</v>
      </c>
      <c r="I58">
        <v>1927263.7100000002</v>
      </c>
      <c r="J58">
        <v>1795</v>
      </c>
      <c r="K58">
        <v>1073.6845181058497</v>
      </c>
      <c r="L58">
        <v>2081</v>
      </c>
      <c r="M58">
        <v>964.86827486785205</v>
      </c>
      <c r="N58">
        <v>2007890.8800000001</v>
      </c>
      <c r="O58">
        <v>2147494.54</v>
      </c>
      <c r="P58">
        <f t="shared" si="0"/>
        <v>2503</v>
      </c>
      <c r="Q58">
        <f t="shared" si="1"/>
        <v>857.96825409508597</v>
      </c>
    </row>
    <row r="59" spans="1:17" x14ac:dyDescent="0.2">
      <c r="A59" t="s">
        <v>17</v>
      </c>
      <c r="B59" t="s">
        <v>32</v>
      </c>
      <c r="C59" t="s">
        <v>19</v>
      </c>
      <c r="D59" t="s">
        <v>28</v>
      </c>
      <c r="E59" t="s">
        <v>22</v>
      </c>
      <c r="F59">
        <v>16449</v>
      </c>
      <c r="G59">
        <v>848.36538330597568</v>
      </c>
      <c r="H59">
        <v>13954762.189999994</v>
      </c>
      <c r="I59">
        <v>10895119.910000002</v>
      </c>
      <c r="J59">
        <v>12196</v>
      </c>
      <c r="K59">
        <v>893.33551246310287</v>
      </c>
      <c r="L59">
        <v>14990</v>
      </c>
      <c r="M59">
        <v>719.87852568379026</v>
      </c>
      <c r="N59">
        <v>10790979.100000016</v>
      </c>
      <c r="O59">
        <v>13954762.189999994</v>
      </c>
      <c r="P59">
        <f t="shared" si="0"/>
        <v>16449</v>
      </c>
      <c r="Q59">
        <f t="shared" si="1"/>
        <v>848.36538330597568</v>
      </c>
    </row>
    <row r="60" spans="1:17" x14ac:dyDescent="0.2">
      <c r="A60" t="s">
        <v>17</v>
      </c>
      <c r="B60" t="s">
        <v>32</v>
      </c>
      <c r="C60" t="s">
        <v>19</v>
      </c>
      <c r="D60" t="s">
        <v>29</v>
      </c>
      <c r="E60" t="s">
        <v>21</v>
      </c>
      <c r="F60">
        <v>8</v>
      </c>
      <c r="G60">
        <v>35091.323749999996</v>
      </c>
      <c r="H60">
        <v>280730.58999999997</v>
      </c>
      <c r="I60">
        <v>54665.870000000032</v>
      </c>
      <c r="J60">
        <v>4</v>
      </c>
      <c r="K60">
        <v>13666.467500000008</v>
      </c>
      <c r="L60">
        <v>6</v>
      </c>
      <c r="M60">
        <v>19204.898333333331</v>
      </c>
      <c r="N60">
        <v>115229.38999999998</v>
      </c>
      <c r="O60">
        <v>280730.58999999997</v>
      </c>
      <c r="P60">
        <f t="shared" si="0"/>
        <v>8</v>
      </c>
      <c r="Q60">
        <f t="shared" si="1"/>
        <v>35091.323749999996</v>
      </c>
    </row>
    <row r="61" spans="1:17" x14ac:dyDescent="0.2">
      <c r="A61" t="s">
        <v>17</v>
      </c>
      <c r="B61" t="s">
        <v>32</v>
      </c>
      <c r="C61" t="s">
        <v>19</v>
      </c>
      <c r="D61" t="s">
        <v>29</v>
      </c>
      <c r="E61" t="s">
        <v>22</v>
      </c>
      <c r="F61">
        <v>22</v>
      </c>
      <c r="G61">
        <v>46115.852272727279</v>
      </c>
      <c r="H61">
        <v>1014548.7500000001</v>
      </c>
      <c r="I61">
        <v>858295.28000000084</v>
      </c>
      <c r="J61">
        <v>16</v>
      </c>
      <c r="K61">
        <v>53643.455000000053</v>
      </c>
      <c r="L61">
        <v>9</v>
      </c>
      <c r="M61">
        <v>15509.771111111111</v>
      </c>
      <c r="N61">
        <v>139587.94</v>
      </c>
      <c r="O61">
        <v>1014548.7500000001</v>
      </c>
      <c r="P61">
        <f t="shared" si="0"/>
        <v>22</v>
      </c>
      <c r="Q61">
        <f t="shared" si="1"/>
        <v>46115.852272727279</v>
      </c>
    </row>
    <row r="62" spans="1:17" x14ac:dyDescent="0.2">
      <c r="A62" t="s">
        <v>17</v>
      </c>
      <c r="B62" t="s">
        <v>32</v>
      </c>
      <c r="C62" t="s">
        <v>30</v>
      </c>
      <c r="D62" t="s">
        <v>20</v>
      </c>
      <c r="E62" t="s">
        <v>21</v>
      </c>
      <c r="F62">
        <v>20</v>
      </c>
      <c r="G62">
        <v>65947.551000000007</v>
      </c>
      <c r="H62">
        <v>1318951.02</v>
      </c>
      <c r="I62">
        <v>1766412.8899999969</v>
      </c>
      <c r="J62">
        <v>9</v>
      </c>
      <c r="K62">
        <v>196268.09888888855</v>
      </c>
      <c r="L62">
        <v>12</v>
      </c>
      <c r="M62">
        <v>43051.813333333324</v>
      </c>
      <c r="N62">
        <v>516621.75999999989</v>
      </c>
      <c r="O62">
        <v>1766412.8899999969</v>
      </c>
      <c r="P62">
        <f t="shared" si="0"/>
        <v>20</v>
      </c>
      <c r="Q62">
        <f t="shared" si="1"/>
        <v>88320.644499999849</v>
      </c>
    </row>
    <row r="63" spans="1:17" x14ac:dyDescent="0.2">
      <c r="A63" t="s">
        <v>17</v>
      </c>
      <c r="B63" t="s">
        <v>32</v>
      </c>
      <c r="C63" t="s">
        <v>30</v>
      </c>
      <c r="D63" t="s">
        <v>20</v>
      </c>
      <c r="E63" t="s">
        <v>22</v>
      </c>
      <c r="F63">
        <v>66</v>
      </c>
      <c r="G63">
        <v>58230.959393939396</v>
      </c>
      <c r="H63">
        <v>3843243.3200000003</v>
      </c>
      <c r="I63">
        <v>3924629.7600000012</v>
      </c>
      <c r="J63">
        <v>52</v>
      </c>
      <c r="K63">
        <v>75473.649230769253</v>
      </c>
      <c r="L63">
        <v>60</v>
      </c>
      <c r="M63">
        <v>55257.992333333357</v>
      </c>
      <c r="N63">
        <v>3315479.5400000014</v>
      </c>
      <c r="O63">
        <v>3924629.7600000012</v>
      </c>
      <c r="P63">
        <f t="shared" si="0"/>
        <v>66</v>
      </c>
      <c r="Q63">
        <f t="shared" si="1"/>
        <v>59464.087272727287</v>
      </c>
    </row>
    <row r="64" spans="1:17" x14ac:dyDescent="0.2">
      <c r="A64" t="s">
        <v>17</v>
      </c>
      <c r="B64" t="s">
        <v>32</v>
      </c>
      <c r="C64" t="s">
        <v>30</v>
      </c>
      <c r="D64" t="s">
        <v>23</v>
      </c>
      <c r="E64" t="s">
        <v>21</v>
      </c>
      <c r="F64">
        <v>893</v>
      </c>
      <c r="G64">
        <v>2108.4566741321391</v>
      </c>
      <c r="H64">
        <v>1882851.81</v>
      </c>
      <c r="I64">
        <v>1929587.3499999985</v>
      </c>
      <c r="J64">
        <v>731</v>
      </c>
      <c r="K64">
        <v>2639.6543775649775</v>
      </c>
      <c r="L64">
        <v>690</v>
      </c>
      <c r="M64">
        <v>2032.5461014492762</v>
      </c>
      <c r="N64">
        <v>1402456.8100000005</v>
      </c>
      <c r="O64">
        <v>1929587.3499999985</v>
      </c>
      <c r="P64">
        <f t="shared" si="0"/>
        <v>893</v>
      </c>
      <c r="Q64">
        <f t="shared" si="1"/>
        <v>2160.7921052631564</v>
      </c>
    </row>
    <row r="65" spans="1:17" x14ac:dyDescent="0.2">
      <c r="A65" t="s">
        <v>17</v>
      </c>
      <c r="B65" t="s">
        <v>32</v>
      </c>
      <c r="C65" t="s">
        <v>30</v>
      </c>
      <c r="D65" t="s">
        <v>23</v>
      </c>
      <c r="E65" t="s">
        <v>22</v>
      </c>
      <c r="F65">
        <v>2707</v>
      </c>
      <c r="G65">
        <v>3696.470524565942</v>
      </c>
      <c r="H65">
        <v>10006345.710000005</v>
      </c>
      <c r="I65">
        <v>9601751.6499999724</v>
      </c>
      <c r="J65">
        <v>2258</v>
      </c>
      <c r="K65">
        <v>4252.3257971656212</v>
      </c>
      <c r="L65">
        <v>1699</v>
      </c>
      <c r="M65">
        <v>3233.9949970570924</v>
      </c>
      <c r="N65">
        <v>5494557.5</v>
      </c>
      <c r="O65">
        <v>10006345.710000005</v>
      </c>
      <c r="P65">
        <f t="shared" si="0"/>
        <v>2707</v>
      </c>
      <c r="Q65">
        <f t="shared" si="1"/>
        <v>3696.470524565942</v>
      </c>
    </row>
    <row r="66" spans="1:17" x14ac:dyDescent="0.2">
      <c r="A66" t="s">
        <v>17</v>
      </c>
      <c r="B66" t="s">
        <v>32</v>
      </c>
      <c r="C66" t="s">
        <v>30</v>
      </c>
      <c r="D66" t="s">
        <v>24</v>
      </c>
      <c r="E66" t="s">
        <v>21</v>
      </c>
      <c r="G66">
        <v>0</v>
      </c>
      <c r="H66">
        <v>959481.82000000007</v>
      </c>
      <c r="I66">
        <v>653762.85000000033</v>
      </c>
      <c r="K66">
        <v>0</v>
      </c>
      <c r="M66">
        <v>0</v>
      </c>
      <c r="N66">
        <v>546423.05999999982</v>
      </c>
      <c r="O66">
        <v>959481.82000000007</v>
      </c>
      <c r="P66">
        <f t="shared" si="0"/>
        <v>0</v>
      </c>
    </row>
    <row r="67" spans="1:17" x14ac:dyDescent="0.2">
      <c r="A67" t="s">
        <v>17</v>
      </c>
      <c r="B67" t="s">
        <v>32</v>
      </c>
      <c r="C67" t="s">
        <v>30</v>
      </c>
      <c r="D67" t="s">
        <v>24</v>
      </c>
      <c r="E67" t="s">
        <v>22</v>
      </c>
      <c r="G67">
        <v>0</v>
      </c>
      <c r="H67">
        <v>5239912.6800000044</v>
      </c>
      <c r="I67">
        <v>4625661.5099999616</v>
      </c>
      <c r="K67">
        <v>0</v>
      </c>
      <c r="M67">
        <v>0</v>
      </c>
      <c r="N67">
        <v>2599346.9199999995</v>
      </c>
      <c r="O67">
        <v>5239912.6800000044</v>
      </c>
      <c r="P67">
        <f t="shared" ref="P67:P130" si="2">MAX(L67,J67,F67)</f>
        <v>0</v>
      </c>
    </row>
    <row r="68" spans="1:17" x14ac:dyDescent="0.2">
      <c r="A68" t="s">
        <v>17</v>
      </c>
      <c r="B68" t="s">
        <v>32</v>
      </c>
      <c r="C68" t="s">
        <v>30</v>
      </c>
      <c r="D68" t="s">
        <v>25</v>
      </c>
      <c r="E68" t="s">
        <v>21</v>
      </c>
      <c r="F68">
        <v>35</v>
      </c>
      <c r="G68">
        <v>99546.66457142857</v>
      </c>
      <c r="H68">
        <v>3484133.26</v>
      </c>
      <c r="I68">
        <v>4979314.589999998</v>
      </c>
      <c r="J68">
        <v>26</v>
      </c>
      <c r="K68">
        <v>191512.09961538453</v>
      </c>
      <c r="L68">
        <v>24</v>
      </c>
      <c r="M68">
        <v>62447.546666666654</v>
      </c>
      <c r="N68">
        <v>1498741.1199999996</v>
      </c>
      <c r="O68">
        <v>4979314.589999998</v>
      </c>
      <c r="P68">
        <f t="shared" si="2"/>
        <v>35</v>
      </c>
      <c r="Q68">
        <f t="shared" ref="Q67:Q130" si="3">O68/P68</f>
        <v>142266.13114285708</v>
      </c>
    </row>
    <row r="69" spans="1:17" x14ac:dyDescent="0.2">
      <c r="A69" t="s">
        <v>17</v>
      </c>
      <c r="B69" t="s">
        <v>32</v>
      </c>
      <c r="C69" t="s">
        <v>30</v>
      </c>
      <c r="D69" t="s">
        <v>25</v>
      </c>
      <c r="E69" t="s">
        <v>22</v>
      </c>
      <c r="F69">
        <v>112</v>
      </c>
      <c r="G69">
        <v>151717.91651785714</v>
      </c>
      <c r="H69">
        <v>16992406.649999999</v>
      </c>
      <c r="I69">
        <v>17822576.160000473</v>
      </c>
      <c r="J69">
        <v>87</v>
      </c>
      <c r="K69">
        <v>204857.19724138474</v>
      </c>
      <c r="L69">
        <v>110</v>
      </c>
      <c r="M69">
        <v>117201.29572727271</v>
      </c>
      <c r="N69">
        <v>12892142.529999997</v>
      </c>
      <c r="O69">
        <v>17822576.160000473</v>
      </c>
      <c r="P69">
        <f t="shared" si="2"/>
        <v>112</v>
      </c>
      <c r="Q69">
        <f t="shared" si="3"/>
        <v>159130.1442857185</v>
      </c>
    </row>
    <row r="70" spans="1:17" x14ac:dyDescent="0.2">
      <c r="A70" t="s">
        <v>17</v>
      </c>
      <c r="B70" t="s">
        <v>32</v>
      </c>
      <c r="C70" t="s">
        <v>30</v>
      </c>
      <c r="D70" t="s">
        <v>26</v>
      </c>
      <c r="E70" t="s">
        <v>21</v>
      </c>
      <c r="F70">
        <v>164</v>
      </c>
      <c r="G70">
        <v>19410.822987804881</v>
      </c>
      <c r="H70">
        <v>3183374.97</v>
      </c>
      <c r="I70">
        <v>2251960.4300000016</v>
      </c>
      <c r="J70">
        <v>125</v>
      </c>
      <c r="K70">
        <v>18015.683440000012</v>
      </c>
      <c r="L70">
        <v>101</v>
      </c>
      <c r="M70">
        <v>20477.835742574258</v>
      </c>
      <c r="N70">
        <v>2068261.41</v>
      </c>
      <c r="O70">
        <v>3183374.97</v>
      </c>
      <c r="P70">
        <f t="shared" si="2"/>
        <v>164</v>
      </c>
      <c r="Q70">
        <f t="shared" si="3"/>
        <v>19410.822987804881</v>
      </c>
    </row>
    <row r="71" spans="1:17" x14ac:dyDescent="0.2">
      <c r="A71" t="s">
        <v>17</v>
      </c>
      <c r="B71" t="s">
        <v>32</v>
      </c>
      <c r="C71" t="s">
        <v>30</v>
      </c>
      <c r="D71" t="s">
        <v>26</v>
      </c>
      <c r="E71" t="s">
        <v>22</v>
      </c>
      <c r="F71">
        <v>744</v>
      </c>
      <c r="G71">
        <v>25806.898118279569</v>
      </c>
      <c r="H71">
        <v>19200332.199999999</v>
      </c>
      <c r="I71">
        <v>19736698.789999414</v>
      </c>
      <c r="J71">
        <v>591</v>
      </c>
      <c r="K71">
        <v>33395.429424702903</v>
      </c>
      <c r="L71">
        <v>469</v>
      </c>
      <c r="M71">
        <v>23138.520341151383</v>
      </c>
      <c r="N71">
        <v>10851966.039999999</v>
      </c>
      <c r="O71">
        <v>19736698.789999414</v>
      </c>
      <c r="P71">
        <f t="shared" si="2"/>
        <v>744</v>
      </c>
      <c r="Q71">
        <f t="shared" si="3"/>
        <v>26527.820954300289</v>
      </c>
    </row>
    <row r="72" spans="1:17" x14ac:dyDescent="0.2">
      <c r="A72" t="s">
        <v>17</v>
      </c>
      <c r="B72" t="s">
        <v>32</v>
      </c>
      <c r="C72" t="s">
        <v>30</v>
      </c>
      <c r="D72" t="s">
        <v>28</v>
      </c>
      <c r="E72" t="s">
        <v>21</v>
      </c>
      <c r="F72">
        <v>2440</v>
      </c>
      <c r="G72">
        <v>862.9724344262296</v>
      </c>
      <c r="H72">
        <v>2105652.7400000002</v>
      </c>
      <c r="I72">
        <v>2292708.2100000037</v>
      </c>
      <c r="J72">
        <v>2204</v>
      </c>
      <c r="K72">
        <v>1040.2487341197839</v>
      </c>
      <c r="L72">
        <v>2185</v>
      </c>
      <c r="M72">
        <v>996.21768878718535</v>
      </c>
      <c r="N72">
        <v>2176735.65</v>
      </c>
      <c r="O72">
        <v>2292708.2100000037</v>
      </c>
      <c r="P72">
        <f t="shared" si="2"/>
        <v>2440</v>
      </c>
      <c r="Q72">
        <f t="shared" si="3"/>
        <v>939.63451229508348</v>
      </c>
    </row>
    <row r="73" spans="1:17" x14ac:dyDescent="0.2">
      <c r="A73" t="s">
        <v>17</v>
      </c>
      <c r="B73" t="s">
        <v>32</v>
      </c>
      <c r="C73" t="s">
        <v>30</v>
      </c>
      <c r="D73" t="s">
        <v>28</v>
      </c>
      <c r="E73" t="s">
        <v>22</v>
      </c>
      <c r="F73">
        <v>16019</v>
      </c>
      <c r="G73">
        <v>844.84541481990095</v>
      </c>
      <c r="H73">
        <v>13533578.699999994</v>
      </c>
      <c r="I73">
        <v>14280031.76999989</v>
      </c>
      <c r="J73">
        <v>15125</v>
      </c>
      <c r="K73">
        <v>944.13433190081912</v>
      </c>
      <c r="L73">
        <v>11886</v>
      </c>
      <c r="M73">
        <v>788.10232458354483</v>
      </c>
      <c r="N73">
        <v>9367384.2300000135</v>
      </c>
      <c r="O73">
        <v>14280031.76999989</v>
      </c>
      <c r="P73">
        <f t="shared" si="2"/>
        <v>16019</v>
      </c>
      <c r="Q73">
        <f t="shared" si="3"/>
        <v>891.4433965915407</v>
      </c>
    </row>
    <row r="74" spans="1:17" x14ac:dyDescent="0.2">
      <c r="A74" t="s">
        <v>17</v>
      </c>
      <c r="B74" t="s">
        <v>32</v>
      </c>
      <c r="C74" t="s">
        <v>30</v>
      </c>
      <c r="D74" t="s">
        <v>29</v>
      </c>
      <c r="E74" t="s">
        <v>21</v>
      </c>
      <c r="F74">
        <v>8</v>
      </c>
      <c r="G74">
        <v>35091.323749999996</v>
      </c>
      <c r="H74">
        <v>280730.58999999997</v>
      </c>
      <c r="I74">
        <v>23541.75</v>
      </c>
      <c r="J74">
        <v>1</v>
      </c>
      <c r="K74">
        <v>23541.75</v>
      </c>
      <c r="L74">
        <v>2</v>
      </c>
      <c r="M74">
        <v>13903.594999999999</v>
      </c>
      <c r="N74">
        <v>27807.19</v>
      </c>
      <c r="O74">
        <v>280730.58999999997</v>
      </c>
      <c r="P74">
        <f t="shared" si="2"/>
        <v>8</v>
      </c>
      <c r="Q74">
        <f t="shared" si="3"/>
        <v>35091.323749999996</v>
      </c>
    </row>
    <row r="75" spans="1:17" x14ac:dyDescent="0.2">
      <c r="A75" t="s">
        <v>17</v>
      </c>
      <c r="B75" t="s">
        <v>32</v>
      </c>
      <c r="C75" t="s">
        <v>30</v>
      </c>
      <c r="D75" t="s">
        <v>29</v>
      </c>
      <c r="E75" t="s">
        <v>22</v>
      </c>
      <c r="F75">
        <v>21</v>
      </c>
      <c r="G75">
        <v>45199.728571428583</v>
      </c>
      <c r="H75">
        <v>949194.30000000016</v>
      </c>
      <c r="I75">
        <v>464896.34000000061</v>
      </c>
      <c r="J75">
        <v>10</v>
      </c>
      <c r="K75">
        <v>46489.634000000064</v>
      </c>
      <c r="L75">
        <v>7</v>
      </c>
      <c r="M75">
        <v>44511.08</v>
      </c>
      <c r="N75">
        <v>311577.56</v>
      </c>
      <c r="O75">
        <v>949194.30000000016</v>
      </c>
      <c r="P75">
        <f t="shared" si="2"/>
        <v>21</v>
      </c>
      <c r="Q75">
        <f t="shared" si="3"/>
        <v>45199.728571428583</v>
      </c>
    </row>
    <row r="76" spans="1:17" x14ac:dyDescent="0.2">
      <c r="A76" t="s">
        <v>17</v>
      </c>
      <c r="B76" t="s">
        <v>32</v>
      </c>
      <c r="C76" t="s">
        <v>31</v>
      </c>
      <c r="D76" t="s">
        <v>20</v>
      </c>
      <c r="E76" t="s">
        <v>21</v>
      </c>
      <c r="F76">
        <v>20</v>
      </c>
      <c r="G76">
        <v>65947.551000000007</v>
      </c>
      <c r="H76">
        <v>1318951.02</v>
      </c>
      <c r="I76">
        <v>167268.25000000012</v>
      </c>
      <c r="J76">
        <v>5</v>
      </c>
      <c r="K76">
        <v>33453.650000000023</v>
      </c>
      <c r="L76">
        <v>17</v>
      </c>
      <c r="M76">
        <v>17976.684705882355</v>
      </c>
      <c r="N76">
        <v>305603.64</v>
      </c>
      <c r="O76">
        <v>1318951.02</v>
      </c>
      <c r="P76">
        <f t="shared" si="2"/>
        <v>20</v>
      </c>
      <c r="Q76">
        <f t="shared" si="3"/>
        <v>65947.551000000007</v>
      </c>
    </row>
    <row r="77" spans="1:17" x14ac:dyDescent="0.2">
      <c r="A77" t="s">
        <v>17</v>
      </c>
      <c r="B77" t="s">
        <v>32</v>
      </c>
      <c r="C77" t="s">
        <v>31</v>
      </c>
      <c r="D77" t="s">
        <v>20</v>
      </c>
      <c r="E77" t="s">
        <v>22</v>
      </c>
      <c r="F77">
        <v>67</v>
      </c>
      <c r="G77">
        <v>58272.578507462691</v>
      </c>
      <c r="H77">
        <v>3904262.7600000002</v>
      </c>
      <c r="I77">
        <v>356375.54999999981</v>
      </c>
      <c r="J77">
        <v>12</v>
      </c>
      <c r="K77">
        <v>29697.962499999983</v>
      </c>
      <c r="L77">
        <v>79</v>
      </c>
      <c r="M77">
        <v>45503.201898734194</v>
      </c>
      <c r="N77">
        <v>3594752.9500000011</v>
      </c>
      <c r="O77">
        <v>3904262.7600000002</v>
      </c>
      <c r="P77">
        <f t="shared" si="2"/>
        <v>79</v>
      </c>
      <c r="Q77">
        <f t="shared" si="3"/>
        <v>49421.04759493671</v>
      </c>
    </row>
    <row r="78" spans="1:17" x14ac:dyDescent="0.2">
      <c r="A78" t="s">
        <v>17</v>
      </c>
      <c r="B78" t="s">
        <v>32</v>
      </c>
      <c r="C78" t="s">
        <v>31</v>
      </c>
      <c r="D78" t="s">
        <v>23</v>
      </c>
      <c r="E78" t="s">
        <v>21</v>
      </c>
      <c r="F78">
        <v>921</v>
      </c>
      <c r="G78">
        <v>2091.5905211726385</v>
      </c>
      <c r="H78">
        <v>1926354.87</v>
      </c>
      <c r="I78">
        <v>738294.60999999847</v>
      </c>
      <c r="J78">
        <v>259</v>
      </c>
      <c r="K78">
        <v>2850.558339768334</v>
      </c>
      <c r="L78">
        <v>747</v>
      </c>
      <c r="M78">
        <v>1872.0007095046853</v>
      </c>
      <c r="N78">
        <v>1398384.53</v>
      </c>
      <c r="O78">
        <v>1926354.87</v>
      </c>
      <c r="P78">
        <f t="shared" si="2"/>
        <v>921</v>
      </c>
      <c r="Q78">
        <f t="shared" si="3"/>
        <v>2091.5905211726385</v>
      </c>
    </row>
    <row r="79" spans="1:17" x14ac:dyDescent="0.2">
      <c r="A79" t="s">
        <v>17</v>
      </c>
      <c r="B79" t="s">
        <v>32</v>
      </c>
      <c r="C79" t="s">
        <v>31</v>
      </c>
      <c r="D79" t="s">
        <v>23</v>
      </c>
      <c r="E79" t="s">
        <v>22</v>
      </c>
      <c r="F79">
        <v>2759</v>
      </c>
      <c r="G79">
        <v>3710.5000797390376</v>
      </c>
      <c r="H79">
        <v>10237269.720000004</v>
      </c>
      <c r="I79">
        <v>3791954.1900000153</v>
      </c>
      <c r="J79">
        <v>875</v>
      </c>
      <c r="K79">
        <v>4333.661931428589</v>
      </c>
      <c r="L79">
        <v>2081</v>
      </c>
      <c r="M79">
        <v>3149.623123498317</v>
      </c>
      <c r="N79">
        <v>6554365.7199999979</v>
      </c>
      <c r="O79">
        <v>10237269.720000004</v>
      </c>
      <c r="P79">
        <f t="shared" si="2"/>
        <v>2759</v>
      </c>
      <c r="Q79">
        <f t="shared" si="3"/>
        <v>3710.5000797390376</v>
      </c>
    </row>
    <row r="80" spans="1:17" x14ac:dyDescent="0.2">
      <c r="A80" t="s">
        <v>17</v>
      </c>
      <c r="B80" t="s">
        <v>32</v>
      </c>
      <c r="C80" t="s">
        <v>31</v>
      </c>
      <c r="D80" t="s">
        <v>24</v>
      </c>
      <c r="E80" t="s">
        <v>21</v>
      </c>
      <c r="G80">
        <v>0</v>
      </c>
      <c r="H80">
        <v>991642.23</v>
      </c>
      <c r="I80">
        <v>228994.24000000017</v>
      </c>
      <c r="K80">
        <v>0</v>
      </c>
      <c r="M80">
        <v>0</v>
      </c>
      <c r="N80">
        <v>515587.46000000008</v>
      </c>
      <c r="O80">
        <v>991642.23</v>
      </c>
      <c r="P80">
        <f t="shared" si="2"/>
        <v>0</v>
      </c>
    </row>
    <row r="81" spans="1:17" x14ac:dyDescent="0.2">
      <c r="A81" t="s">
        <v>17</v>
      </c>
      <c r="B81" t="s">
        <v>32</v>
      </c>
      <c r="C81" t="s">
        <v>31</v>
      </c>
      <c r="D81" t="s">
        <v>24</v>
      </c>
      <c r="E81" t="s">
        <v>22</v>
      </c>
      <c r="G81">
        <v>0</v>
      </c>
      <c r="H81">
        <v>5508064.8400000036</v>
      </c>
      <c r="I81">
        <v>1925571.680000003</v>
      </c>
      <c r="K81">
        <v>0</v>
      </c>
      <c r="M81">
        <v>0</v>
      </c>
      <c r="N81">
        <v>3001617.2999999989</v>
      </c>
      <c r="O81">
        <v>5508064.8400000036</v>
      </c>
      <c r="P81">
        <f t="shared" si="2"/>
        <v>0</v>
      </c>
    </row>
    <row r="82" spans="1:17" x14ac:dyDescent="0.2">
      <c r="A82" t="s">
        <v>17</v>
      </c>
      <c r="B82" t="s">
        <v>32</v>
      </c>
      <c r="C82" t="s">
        <v>31</v>
      </c>
      <c r="D82" t="s">
        <v>25</v>
      </c>
      <c r="E82" t="s">
        <v>21</v>
      </c>
      <c r="F82">
        <v>37</v>
      </c>
      <c r="G82">
        <v>98157.054324324316</v>
      </c>
      <c r="H82">
        <v>3631811.01</v>
      </c>
      <c r="I82">
        <v>1623943.1399999987</v>
      </c>
      <c r="J82">
        <v>11</v>
      </c>
      <c r="K82">
        <v>147631.19454545443</v>
      </c>
      <c r="L82">
        <v>26</v>
      </c>
      <c r="M82">
        <v>111573.51884615388</v>
      </c>
      <c r="N82">
        <v>2900911.4900000007</v>
      </c>
      <c r="O82">
        <v>3631811.01</v>
      </c>
      <c r="P82">
        <f t="shared" si="2"/>
        <v>37</v>
      </c>
      <c r="Q82">
        <f t="shared" si="3"/>
        <v>98157.054324324316</v>
      </c>
    </row>
    <row r="83" spans="1:17" x14ac:dyDescent="0.2">
      <c r="A83" t="s">
        <v>17</v>
      </c>
      <c r="B83" t="s">
        <v>32</v>
      </c>
      <c r="C83" t="s">
        <v>31</v>
      </c>
      <c r="D83" t="s">
        <v>25</v>
      </c>
      <c r="E83" t="s">
        <v>22</v>
      </c>
      <c r="F83">
        <v>113</v>
      </c>
      <c r="G83">
        <v>154038.314159292</v>
      </c>
      <c r="H83">
        <v>17406329.499999996</v>
      </c>
      <c r="I83">
        <v>5877374.1000000229</v>
      </c>
      <c r="J83">
        <v>50</v>
      </c>
      <c r="K83">
        <v>117547.48200000045</v>
      </c>
      <c r="L83">
        <v>130</v>
      </c>
      <c r="M83">
        <v>102898.74676923078</v>
      </c>
      <c r="N83">
        <v>13376837.080000002</v>
      </c>
      <c r="O83">
        <v>17406329.499999996</v>
      </c>
      <c r="P83">
        <f t="shared" si="2"/>
        <v>130</v>
      </c>
      <c r="Q83">
        <f t="shared" si="3"/>
        <v>133894.84230769228</v>
      </c>
    </row>
    <row r="84" spans="1:17" x14ac:dyDescent="0.2">
      <c r="A84" t="s">
        <v>17</v>
      </c>
      <c r="B84" t="s">
        <v>32</v>
      </c>
      <c r="C84" t="s">
        <v>31</v>
      </c>
      <c r="D84" t="s">
        <v>26</v>
      </c>
      <c r="E84" t="s">
        <v>21</v>
      </c>
      <c r="F84">
        <v>167</v>
      </c>
      <c r="G84">
        <v>19351.430658682639</v>
      </c>
      <c r="H84">
        <v>3231688.9200000004</v>
      </c>
      <c r="I84">
        <v>988233.72000000079</v>
      </c>
      <c r="J84">
        <v>57</v>
      </c>
      <c r="K84">
        <v>17337.43368421054</v>
      </c>
      <c r="L84">
        <v>130</v>
      </c>
      <c r="M84">
        <v>16912.806461538468</v>
      </c>
      <c r="N84">
        <v>2198664.8400000008</v>
      </c>
      <c r="O84">
        <v>3231688.9200000004</v>
      </c>
      <c r="P84">
        <f t="shared" si="2"/>
        <v>167</v>
      </c>
      <c r="Q84">
        <f t="shared" si="3"/>
        <v>19351.430658682639</v>
      </c>
    </row>
    <row r="85" spans="1:17" x14ac:dyDescent="0.2">
      <c r="A85" t="s">
        <v>17</v>
      </c>
      <c r="B85" t="s">
        <v>32</v>
      </c>
      <c r="C85" t="s">
        <v>31</v>
      </c>
      <c r="D85" t="s">
        <v>26</v>
      </c>
      <c r="E85" t="s">
        <v>22</v>
      </c>
      <c r="F85">
        <v>760</v>
      </c>
      <c r="G85">
        <v>26135.33552631579</v>
      </c>
      <c r="H85">
        <v>19862855</v>
      </c>
      <c r="I85">
        <v>7313434.7399999872</v>
      </c>
      <c r="J85">
        <v>259</v>
      </c>
      <c r="K85">
        <v>28237.19976833972</v>
      </c>
      <c r="L85">
        <v>627</v>
      </c>
      <c r="M85">
        <v>21268.961100478464</v>
      </c>
      <c r="N85">
        <v>13335638.609999996</v>
      </c>
      <c r="O85">
        <v>19862855</v>
      </c>
      <c r="P85">
        <f t="shared" si="2"/>
        <v>760</v>
      </c>
      <c r="Q85">
        <f t="shared" si="3"/>
        <v>26135.33552631579</v>
      </c>
    </row>
    <row r="86" spans="1:17" x14ac:dyDescent="0.2">
      <c r="A86" t="s">
        <v>17</v>
      </c>
      <c r="B86" t="s">
        <v>32</v>
      </c>
      <c r="C86" t="s">
        <v>31</v>
      </c>
      <c r="D86" t="s">
        <v>28</v>
      </c>
      <c r="E86" t="s">
        <v>21</v>
      </c>
      <c r="F86">
        <v>2503</v>
      </c>
      <c r="G86">
        <v>857.96825409508597</v>
      </c>
      <c r="H86">
        <v>2147494.54</v>
      </c>
      <c r="I86">
        <v>860346.67000000039</v>
      </c>
      <c r="J86">
        <v>893</v>
      </c>
      <c r="K86">
        <v>963.4341209406499</v>
      </c>
      <c r="L86">
        <v>2309</v>
      </c>
      <c r="M86">
        <v>870.63652230402772</v>
      </c>
      <c r="N86">
        <v>2010299.73</v>
      </c>
      <c r="O86">
        <v>2147494.54</v>
      </c>
      <c r="P86">
        <f t="shared" si="2"/>
        <v>2503</v>
      </c>
      <c r="Q86">
        <f t="shared" si="3"/>
        <v>857.96825409508597</v>
      </c>
    </row>
    <row r="87" spans="1:17" x14ac:dyDescent="0.2">
      <c r="A87" t="s">
        <v>17</v>
      </c>
      <c r="B87" t="s">
        <v>32</v>
      </c>
      <c r="C87" t="s">
        <v>31</v>
      </c>
      <c r="D87" t="s">
        <v>28</v>
      </c>
      <c r="E87" t="s">
        <v>22</v>
      </c>
      <c r="F87">
        <v>16449</v>
      </c>
      <c r="G87">
        <v>848.36538330597568</v>
      </c>
      <c r="H87">
        <v>13954762.189999994</v>
      </c>
      <c r="I87">
        <v>5248986.1699999822</v>
      </c>
      <c r="J87">
        <v>5598</v>
      </c>
      <c r="K87">
        <v>937.65383529831763</v>
      </c>
      <c r="L87">
        <v>13969</v>
      </c>
      <c r="M87">
        <v>815.28332164077722</v>
      </c>
      <c r="N87">
        <v>11388692.720000017</v>
      </c>
      <c r="O87">
        <v>13954762.189999994</v>
      </c>
      <c r="P87">
        <f t="shared" si="2"/>
        <v>16449</v>
      </c>
      <c r="Q87">
        <f t="shared" si="3"/>
        <v>848.36538330597568</v>
      </c>
    </row>
    <row r="88" spans="1:17" x14ac:dyDescent="0.2">
      <c r="A88" t="s">
        <v>17</v>
      </c>
      <c r="B88" t="s">
        <v>32</v>
      </c>
      <c r="C88" t="s">
        <v>31</v>
      </c>
      <c r="D88" t="s">
        <v>29</v>
      </c>
      <c r="E88" t="s">
        <v>21</v>
      </c>
      <c r="F88">
        <v>8</v>
      </c>
      <c r="G88">
        <v>35091.323749999996</v>
      </c>
      <c r="H88">
        <v>280730.58999999997</v>
      </c>
      <c r="L88">
        <v>2</v>
      </c>
      <c r="M88">
        <v>9777.0399999999991</v>
      </c>
      <c r="N88">
        <v>19554.079999999998</v>
      </c>
      <c r="O88">
        <v>280730.58999999997</v>
      </c>
      <c r="P88">
        <f t="shared" si="2"/>
        <v>8</v>
      </c>
      <c r="Q88">
        <f t="shared" si="3"/>
        <v>35091.323749999996</v>
      </c>
    </row>
    <row r="89" spans="1:17" x14ac:dyDescent="0.2">
      <c r="A89" t="s">
        <v>17</v>
      </c>
      <c r="B89" t="s">
        <v>32</v>
      </c>
      <c r="C89" t="s">
        <v>31</v>
      </c>
      <c r="D89" t="s">
        <v>29</v>
      </c>
      <c r="E89" t="s">
        <v>22</v>
      </c>
      <c r="F89">
        <v>22</v>
      </c>
      <c r="G89">
        <v>46115.852272727279</v>
      </c>
      <c r="H89">
        <v>1014548.7500000001</v>
      </c>
      <c r="I89">
        <v>71059.929999999993</v>
      </c>
      <c r="J89">
        <v>3</v>
      </c>
      <c r="K89">
        <v>23686.64333333333</v>
      </c>
      <c r="L89">
        <v>13</v>
      </c>
      <c r="M89">
        <v>22789.83538461538</v>
      </c>
      <c r="N89">
        <v>296267.85999999993</v>
      </c>
      <c r="O89">
        <v>1014548.7500000001</v>
      </c>
      <c r="P89">
        <f t="shared" si="2"/>
        <v>22</v>
      </c>
      <c r="Q89">
        <f t="shared" si="3"/>
        <v>46115.852272727279</v>
      </c>
    </row>
    <row r="90" spans="1:17" x14ac:dyDescent="0.2">
      <c r="A90" t="s">
        <v>33</v>
      </c>
      <c r="B90" t="s">
        <v>34</v>
      </c>
      <c r="C90" t="s">
        <v>19</v>
      </c>
      <c r="D90" t="s">
        <v>20</v>
      </c>
      <c r="E90" t="s">
        <v>22</v>
      </c>
      <c r="F90">
        <v>13</v>
      </c>
      <c r="G90">
        <v>13655.800769230769</v>
      </c>
      <c r="H90">
        <v>177525.41</v>
      </c>
      <c r="I90">
        <v>50016.560000000005</v>
      </c>
      <c r="J90">
        <v>1</v>
      </c>
      <c r="K90">
        <v>50016.560000000005</v>
      </c>
      <c r="L90">
        <v>2</v>
      </c>
      <c r="M90">
        <v>25271.434999999998</v>
      </c>
      <c r="N90">
        <v>50542.869999999995</v>
      </c>
      <c r="O90">
        <v>177525.41</v>
      </c>
      <c r="P90">
        <f t="shared" si="2"/>
        <v>13</v>
      </c>
      <c r="Q90">
        <f t="shared" si="3"/>
        <v>13655.800769230769</v>
      </c>
    </row>
    <row r="91" spans="1:17" x14ac:dyDescent="0.2">
      <c r="A91" t="s">
        <v>33</v>
      </c>
      <c r="B91" t="s">
        <v>34</v>
      </c>
      <c r="C91" t="s">
        <v>19</v>
      </c>
      <c r="D91" t="s">
        <v>35</v>
      </c>
      <c r="E91" t="s">
        <v>21</v>
      </c>
      <c r="F91">
        <v>9</v>
      </c>
      <c r="G91">
        <v>26010.248888888884</v>
      </c>
      <c r="H91">
        <v>234092.23999999996</v>
      </c>
      <c r="I91">
        <v>144813.04999999996</v>
      </c>
      <c r="J91">
        <v>6</v>
      </c>
      <c r="K91">
        <v>24135.508333333328</v>
      </c>
      <c r="L91">
        <v>3</v>
      </c>
      <c r="M91">
        <v>68413.5</v>
      </c>
      <c r="N91">
        <v>205240.5</v>
      </c>
      <c r="O91">
        <v>234092.23999999996</v>
      </c>
      <c r="P91">
        <f t="shared" si="2"/>
        <v>9</v>
      </c>
      <c r="Q91">
        <f t="shared" si="3"/>
        <v>26010.248888888884</v>
      </c>
    </row>
    <row r="92" spans="1:17" x14ac:dyDescent="0.2">
      <c r="A92" t="s">
        <v>33</v>
      </c>
      <c r="B92" t="s">
        <v>34</v>
      </c>
      <c r="C92" t="s">
        <v>19</v>
      </c>
      <c r="D92" t="s">
        <v>35</v>
      </c>
      <c r="E92" t="s">
        <v>22</v>
      </c>
      <c r="F92">
        <v>205</v>
      </c>
      <c r="G92">
        <v>21400.397951219518</v>
      </c>
      <c r="H92">
        <v>4387081.580000001</v>
      </c>
      <c r="I92">
        <v>3127218.4100000635</v>
      </c>
      <c r="J92">
        <v>154</v>
      </c>
      <c r="K92">
        <v>20306.613051948465</v>
      </c>
      <c r="L92">
        <v>111</v>
      </c>
      <c r="M92">
        <v>28644.206036036037</v>
      </c>
      <c r="N92">
        <v>3179506.87</v>
      </c>
      <c r="O92">
        <v>4387081.580000001</v>
      </c>
      <c r="P92">
        <f t="shared" si="2"/>
        <v>205</v>
      </c>
      <c r="Q92">
        <f t="shared" si="3"/>
        <v>21400.397951219518</v>
      </c>
    </row>
    <row r="93" spans="1:17" x14ac:dyDescent="0.2">
      <c r="A93" t="s">
        <v>33</v>
      </c>
      <c r="B93" t="s">
        <v>34</v>
      </c>
      <c r="C93" t="s">
        <v>19</v>
      </c>
      <c r="D93" t="s">
        <v>23</v>
      </c>
      <c r="E93" t="s">
        <v>21</v>
      </c>
      <c r="F93">
        <v>127</v>
      </c>
      <c r="G93">
        <v>1439.9623622047243</v>
      </c>
      <c r="H93">
        <v>182875.21999999997</v>
      </c>
      <c r="I93">
        <v>83348.89</v>
      </c>
      <c r="J93">
        <v>91</v>
      </c>
      <c r="K93">
        <v>915.92186813186811</v>
      </c>
      <c r="L93">
        <v>306</v>
      </c>
      <c r="M93">
        <v>968.53895424836583</v>
      </c>
      <c r="N93">
        <v>296372.91999999993</v>
      </c>
      <c r="O93">
        <v>296372.91999999993</v>
      </c>
      <c r="P93">
        <f t="shared" si="2"/>
        <v>306</v>
      </c>
      <c r="Q93">
        <f t="shared" si="3"/>
        <v>968.53895424836583</v>
      </c>
    </row>
    <row r="94" spans="1:17" x14ac:dyDescent="0.2">
      <c r="A94" t="s">
        <v>33</v>
      </c>
      <c r="B94" t="s">
        <v>34</v>
      </c>
      <c r="C94" t="s">
        <v>19</v>
      </c>
      <c r="D94" t="s">
        <v>23</v>
      </c>
      <c r="E94" t="s">
        <v>22</v>
      </c>
      <c r="F94">
        <v>1004</v>
      </c>
      <c r="G94">
        <v>3200.4437450199198</v>
      </c>
      <c r="H94">
        <v>3213245.5199999996</v>
      </c>
      <c r="I94">
        <v>2871877.1600000155</v>
      </c>
      <c r="J94">
        <v>1224</v>
      </c>
      <c r="K94">
        <v>2346.3048692810585</v>
      </c>
      <c r="L94">
        <v>754</v>
      </c>
      <c r="M94">
        <v>2019.1159151193633</v>
      </c>
      <c r="N94">
        <v>1522413.4</v>
      </c>
      <c r="O94">
        <v>3213245.5199999996</v>
      </c>
      <c r="P94">
        <f t="shared" si="2"/>
        <v>1224</v>
      </c>
      <c r="Q94">
        <f t="shared" si="3"/>
        <v>2625.2005882352937</v>
      </c>
    </row>
    <row r="95" spans="1:17" x14ac:dyDescent="0.2">
      <c r="A95" t="s">
        <v>33</v>
      </c>
      <c r="B95" t="s">
        <v>34</v>
      </c>
      <c r="C95" t="s">
        <v>19</v>
      </c>
      <c r="D95" t="s">
        <v>24</v>
      </c>
      <c r="E95" t="s">
        <v>21</v>
      </c>
      <c r="G95">
        <v>0</v>
      </c>
      <c r="H95">
        <v>82748.570000000022</v>
      </c>
      <c r="I95">
        <v>72416.999999999985</v>
      </c>
      <c r="K95">
        <v>0</v>
      </c>
      <c r="M95">
        <v>0</v>
      </c>
      <c r="N95">
        <v>97170.71</v>
      </c>
      <c r="O95">
        <v>97170.71</v>
      </c>
      <c r="P95">
        <f t="shared" si="2"/>
        <v>0</v>
      </c>
    </row>
    <row r="96" spans="1:17" x14ac:dyDescent="0.2">
      <c r="A96" t="s">
        <v>33</v>
      </c>
      <c r="B96" t="s">
        <v>34</v>
      </c>
      <c r="C96" t="s">
        <v>19</v>
      </c>
      <c r="D96" t="s">
        <v>24</v>
      </c>
      <c r="E96" t="s">
        <v>22</v>
      </c>
      <c r="G96">
        <v>0</v>
      </c>
      <c r="H96">
        <v>9203.1699999999983</v>
      </c>
      <c r="I96">
        <v>5902.7300000000032</v>
      </c>
      <c r="K96">
        <v>0</v>
      </c>
      <c r="M96">
        <v>0</v>
      </c>
      <c r="N96">
        <v>17890.460000000003</v>
      </c>
      <c r="O96">
        <v>17890.460000000003</v>
      </c>
      <c r="P96">
        <f t="shared" si="2"/>
        <v>0</v>
      </c>
    </row>
    <row r="97" spans="1:17" x14ac:dyDescent="0.2">
      <c r="A97" t="s">
        <v>33</v>
      </c>
      <c r="B97" t="s">
        <v>34</v>
      </c>
      <c r="C97" t="s">
        <v>19</v>
      </c>
      <c r="D97" t="s">
        <v>25</v>
      </c>
      <c r="E97" t="s">
        <v>21</v>
      </c>
      <c r="F97">
        <v>17</v>
      </c>
      <c r="G97">
        <v>55176.348235294114</v>
      </c>
      <c r="H97">
        <v>937997.91999999993</v>
      </c>
      <c r="I97">
        <v>546375.07000000088</v>
      </c>
      <c r="J97">
        <v>10</v>
      </c>
      <c r="K97">
        <v>54637.507000000085</v>
      </c>
      <c r="L97">
        <v>23</v>
      </c>
      <c r="M97">
        <v>58574.145217391306</v>
      </c>
      <c r="N97">
        <v>1347205.34</v>
      </c>
      <c r="O97">
        <v>1347205.34</v>
      </c>
      <c r="P97">
        <f t="shared" si="2"/>
        <v>23</v>
      </c>
      <c r="Q97">
        <f t="shared" si="3"/>
        <v>58574.145217391306</v>
      </c>
    </row>
    <row r="98" spans="1:17" x14ac:dyDescent="0.2">
      <c r="A98" t="s">
        <v>33</v>
      </c>
      <c r="B98" t="s">
        <v>34</v>
      </c>
      <c r="C98" t="s">
        <v>19</v>
      </c>
      <c r="D98" t="s">
        <v>25</v>
      </c>
      <c r="E98" t="s">
        <v>22</v>
      </c>
      <c r="F98">
        <v>294</v>
      </c>
      <c r="G98">
        <v>47754.4740476191</v>
      </c>
      <c r="H98">
        <v>14039815.370000016</v>
      </c>
      <c r="I98">
        <v>12213126.820000291</v>
      </c>
      <c r="J98">
        <v>299</v>
      </c>
      <c r="K98">
        <v>40846.577993312007</v>
      </c>
      <c r="L98">
        <v>212</v>
      </c>
      <c r="M98">
        <v>47860.412830188739</v>
      </c>
      <c r="N98">
        <v>10146407.520000013</v>
      </c>
      <c r="O98">
        <v>14039815.370000016</v>
      </c>
      <c r="P98">
        <f t="shared" si="2"/>
        <v>299</v>
      </c>
      <c r="Q98">
        <f t="shared" si="3"/>
        <v>46955.904247491693</v>
      </c>
    </row>
    <row r="99" spans="1:17" x14ac:dyDescent="0.2">
      <c r="A99" t="s">
        <v>33</v>
      </c>
      <c r="B99" t="s">
        <v>34</v>
      </c>
      <c r="C99" t="s">
        <v>19</v>
      </c>
      <c r="D99" t="s">
        <v>26</v>
      </c>
      <c r="E99" t="s">
        <v>21</v>
      </c>
      <c r="F99">
        <v>409</v>
      </c>
      <c r="G99">
        <v>9061.2634963325181</v>
      </c>
      <c r="H99">
        <v>3706056.77</v>
      </c>
      <c r="I99">
        <v>3200295.8000000282</v>
      </c>
      <c r="J99">
        <v>386</v>
      </c>
      <c r="K99">
        <v>8290.9217616581045</v>
      </c>
      <c r="L99">
        <v>217</v>
      </c>
      <c r="M99">
        <v>9692.7947004608322</v>
      </c>
      <c r="N99">
        <v>2103336.4500000007</v>
      </c>
      <c r="O99">
        <v>3706056.77</v>
      </c>
      <c r="P99">
        <f t="shared" si="2"/>
        <v>409</v>
      </c>
      <c r="Q99">
        <f t="shared" si="3"/>
        <v>9061.2634963325181</v>
      </c>
    </row>
    <row r="100" spans="1:17" x14ac:dyDescent="0.2">
      <c r="A100" t="s">
        <v>33</v>
      </c>
      <c r="B100" t="s">
        <v>34</v>
      </c>
      <c r="C100" t="s">
        <v>19</v>
      </c>
      <c r="D100" t="s">
        <v>26</v>
      </c>
      <c r="E100" t="s">
        <v>22</v>
      </c>
      <c r="F100">
        <v>932</v>
      </c>
      <c r="G100">
        <v>12219.019935622304</v>
      </c>
      <c r="H100">
        <v>11388126.579999987</v>
      </c>
      <c r="I100">
        <v>11126380.849999372</v>
      </c>
      <c r="J100">
        <v>856</v>
      </c>
      <c r="K100">
        <v>12998.108469625435</v>
      </c>
      <c r="L100">
        <v>592</v>
      </c>
      <c r="M100">
        <v>10558.36515202703</v>
      </c>
      <c r="N100">
        <v>6250552.1700000018</v>
      </c>
      <c r="O100">
        <v>11388126.579999987</v>
      </c>
      <c r="P100">
        <f t="shared" si="2"/>
        <v>932</v>
      </c>
      <c r="Q100">
        <f t="shared" si="3"/>
        <v>12219.019935622304</v>
      </c>
    </row>
    <row r="101" spans="1:17" x14ac:dyDescent="0.2">
      <c r="A101" t="s">
        <v>33</v>
      </c>
      <c r="B101" t="s">
        <v>34</v>
      </c>
      <c r="C101" t="s">
        <v>19</v>
      </c>
      <c r="D101" t="s">
        <v>27</v>
      </c>
      <c r="E101" t="s">
        <v>21</v>
      </c>
      <c r="F101">
        <v>2</v>
      </c>
      <c r="G101">
        <v>88555.640000000014</v>
      </c>
      <c r="H101">
        <v>177111.28000000003</v>
      </c>
      <c r="I101">
        <v>102929.83</v>
      </c>
      <c r="J101">
        <v>5</v>
      </c>
      <c r="K101">
        <v>20585.966</v>
      </c>
      <c r="L101">
        <v>1</v>
      </c>
      <c r="M101">
        <v>55518.8</v>
      </c>
      <c r="N101">
        <v>55518.8</v>
      </c>
      <c r="O101">
        <v>177111.28000000003</v>
      </c>
      <c r="P101">
        <f t="shared" si="2"/>
        <v>5</v>
      </c>
      <c r="Q101">
        <f t="shared" si="3"/>
        <v>35422.256000000008</v>
      </c>
    </row>
    <row r="102" spans="1:17" x14ac:dyDescent="0.2">
      <c r="A102" t="s">
        <v>33</v>
      </c>
      <c r="B102" t="s">
        <v>34</v>
      </c>
      <c r="C102" t="s">
        <v>19</v>
      </c>
      <c r="D102" t="s">
        <v>27</v>
      </c>
      <c r="E102" t="s">
        <v>22</v>
      </c>
      <c r="F102">
        <v>17</v>
      </c>
      <c r="G102">
        <v>33787.369999999995</v>
      </c>
      <c r="H102">
        <v>574385.28999999992</v>
      </c>
      <c r="I102">
        <v>1160581.5899999933</v>
      </c>
      <c r="J102">
        <v>28</v>
      </c>
      <c r="K102">
        <v>41449.342499999759</v>
      </c>
      <c r="L102">
        <v>20</v>
      </c>
      <c r="M102">
        <v>62189.886999999988</v>
      </c>
      <c r="N102">
        <v>1243797.7399999998</v>
      </c>
      <c r="O102">
        <v>1243797.7399999998</v>
      </c>
      <c r="P102">
        <f t="shared" si="2"/>
        <v>28</v>
      </c>
      <c r="Q102">
        <f t="shared" si="3"/>
        <v>44421.34785714285</v>
      </c>
    </row>
    <row r="103" spans="1:17" x14ac:dyDescent="0.2">
      <c r="A103" t="s">
        <v>33</v>
      </c>
      <c r="B103" t="s">
        <v>34</v>
      </c>
      <c r="C103" t="s">
        <v>19</v>
      </c>
      <c r="D103" t="s">
        <v>36</v>
      </c>
      <c r="E103" t="s">
        <v>21</v>
      </c>
      <c r="F103">
        <v>4</v>
      </c>
      <c r="G103">
        <v>124241.00499999998</v>
      </c>
      <c r="H103">
        <v>496964.0199999999</v>
      </c>
      <c r="O103">
        <v>496964.0199999999</v>
      </c>
      <c r="P103">
        <f t="shared" si="2"/>
        <v>4</v>
      </c>
      <c r="Q103">
        <f t="shared" si="3"/>
        <v>124241.00499999998</v>
      </c>
    </row>
    <row r="104" spans="1:17" x14ac:dyDescent="0.2">
      <c r="A104" t="s">
        <v>33</v>
      </c>
      <c r="B104" t="s">
        <v>34</v>
      </c>
      <c r="C104" t="s">
        <v>19</v>
      </c>
      <c r="D104" t="s">
        <v>36</v>
      </c>
      <c r="E104" t="s">
        <v>22</v>
      </c>
      <c r="F104">
        <v>17</v>
      </c>
      <c r="G104">
        <v>52508.32823529411</v>
      </c>
      <c r="H104">
        <v>892641.57999999984</v>
      </c>
      <c r="I104">
        <v>880987.67</v>
      </c>
      <c r="J104">
        <v>13</v>
      </c>
      <c r="K104">
        <v>67768.282307692309</v>
      </c>
      <c r="L104">
        <v>6</v>
      </c>
      <c r="M104">
        <v>61098.006666666675</v>
      </c>
      <c r="N104">
        <v>366588.04000000004</v>
      </c>
      <c r="O104">
        <v>892641.57999999984</v>
      </c>
      <c r="P104">
        <f t="shared" si="2"/>
        <v>17</v>
      </c>
      <c r="Q104">
        <f t="shared" si="3"/>
        <v>52508.32823529411</v>
      </c>
    </row>
    <row r="105" spans="1:17" x14ac:dyDescent="0.2">
      <c r="A105" t="s">
        <v>33</v>
      </c>
      <c r="B105" t="s">
        <v>34</v>
      </c>
      <c r="C105" t="s">
        <v>19</v>
      </c>
      <c r="D105" t="s">
        <v>28</v>
      </c>
      <c r="E105" t="s">
        <v>21</v>
      </c>
      <c r="F105">
        <v>6910</v>
      </c>
      <c r="G105">
        <v>529.4555441389291</v>
      </c>
      <c r="H105">
        <v>3658537.81</v>
      </c>
      <c r="I105">
        <v>2403629.6800000155</v>
      </c>
      <c r="J105">
        <v>5028</v>
      </c>
      <c r="K105">
        <v>478.04886237072702</v>
      </c>
      <c r="L105">
        <v>5218</v>
      </c>
      <c r="M105">
        <v>576.73857416634723</v>
      </c>
      <c r="N105">
        <v>3009421.88</v>
      </c>
      <c r="O105">
        <v>3658537.81</v>
      </c>
      <c r="P105">
        <f t="shared" si="2"/>
        <v>6910</v>
      </c>
      <c r="Q105">
        <f t="shared" si="3"/>
        <v>529.4555441389291</v>
      </c>
    </row>
    <row r="106" spans="1:17" x14ac:dyDescent="0.2">
      <c r="A106" t="s">
        <v>33</v>
      </c>
      <c r="B106" t="s">
        <v>34</v>
      </c>
      <c r="C106" t="s">
        <v>19</v>
      </c>
      <c r="D106" t="s">
        <v>28</v>
      </c>
      <c r="E106" t="s">
        <v>22</v>
      </c>
      <c r="F106">
        <v>10698</v>
      </c>
      <c r="G106">
        <v>750.6148298747429</v>
      </c>
      <c r="H106">
        <v>8030077.4499999993</v>
      </c>
      <c r="I106">
        <v>7420285.869999771</v>
      </c>
      <c r="J106">
        <v>9871</v>
      </c>
      <c r="K106">
        <v>751.72585047105372</v>
      </c>
      <c r="L106">
        <v>6756</v>
      </c>
      <c r="M106">
        <v>711.50622261693286</v>
      </c>
      <c r="N106">
        <v>4806936.0399999982</v>
      </c>
      <c r="O106">
        <v>8030077.4499999993</v>
      </c>
      <c r="P106">
        <f t="shared" si="2"/>
        <v>10698</v>
      </c>
      <c r="Q106">
        <f t="shared" si="3"/>
        <v>750.6148298747429</v>
      </c>
    </row>
    <row r="107" spans="1:17" x14ac:dyDescent="0.2">
      <c r="A107" t="s">
        <v>33</v>
      </c>
      <c r="B107" t="s">
        <v>34</v>
      </c>
      <c r="C107" t="s">
        <v>19</v>
      </c>
      <c r="D107" t="s">
        <v>29</v>
      </c>
      <c r="E107" t="s">
        <v>21</v>
      </c>
      <c r="F107">
        <v>1</v>
      </c>
      <c r="G107">
        <v>61317.76999999999</v>
      </c>
      <c r="H107">
        <v>61317.76999999999</v>
      </c>
      <c r="I107">
        <v>8515.75</v>
      </c>
      <c r="J107">
        <v>1</v>
      </c>
      <c r="K107">
        <v>8515.75</v>
      </c>
      <c r="L107">
        <v>4</v>
      </c>
      <c r="M107">
        <v>20531.035</v>
      </c>
      <c r="N107">
        <v>82124.14</v>
      </c>
      <c r="O107">
        <v>82124.14</v>
      </c>
      <c r="P107">
        <f t="shared" si="2"/>
        <v>4</v>
      </c>
      <c r="Q107">
        <f t="shared" si="3"/>
        <v>20531.035</v>
      </c>
    </row>
    <row r="108" spans="1:17" x14ac:dyDescent="0.2">
      <c r="A108" t="s">
        <v>33</v>
      </c>
      <c r="B108" t="s">
        <v>34</v>
      </c>
      <c r="C108" t="s">
        <v>19</v>
      </c>
      <c r="D108" t="s">
        <v>29</v>
      </c>
      <c r="E108" t="s">
        <v>22</v>
      </c>
      <c r="F108">
        <v>39</v>
      </c>
      <c r="G108">
        <v>21657.385897435899</v>
      </c>
      <c r="H108">
        <v>844638.05</v>
      </c>
      <c r="I108">
        <v>521067.63999999542</v>
      </c>
      <c r="J108">
        <v>43</v>
      </c>
      <c r="K108">
        <v>12117.85209302315</v>
      </c>
      <c r="L108">
        <v>11</v>
      </c>
      <c r="M108">
        <v>17677.564545454548</v>
      </c>
      <c r="N108">
        <v>194453.21000000002</v>
      </c>
      <c r="O108">
        <v>844638.05</v>
      </c>
      <c r="P108">
        <f t="shared" si="2"/>
        <v>43</v>
      </c>
      <c r="Q108">
        <f t="shared" si="3"/>
        <v>19642.745348837212</v>
      </c>
    </row>
    <row r="109" spans="1:17" x14ac:dyDescent="0.2">
      <c r="A109" t="s">
        <v>33</v>
      </c>
      <c r="B109" t="s">
        <v>34</v>
      </c>
      <c r="C109" t="s">
        <v>30</v>
      </c>
      <c r="D109" t="s">
        <v>20</v>
      </c>
      <c r="E109" t="s">
        <v>21</v>
      </c>
      <c r="I109">
        <v>5994.2800000000007</v>
      </c>
      <c r="K109">
        <v>0</v>
      </c>
      <c r="O109">
        <v>5994.2800000000007</v>
      </c>
      <c r="P109">
        <f t="shared" si="2"/>
        <v>0</v>
      </c>
    </row>
    <row r="110" spans="1:17" x14ac:dyDescent="0.2">
      <c r="A110" t="s">
        <v>33</v>
      </c>
      <c r="B110" t="s">
        <v>34</v>
      </c>
      <c r="C110" t="s">
        <v>30</v>
      </c>
      <c r="D110" t="s">
        <v>20</v>
      </c>
      <c r="E110" t="s">
        <v>22</v>
      </c>
      <c r="F110">
        <v>13</v>
      </c>
      <c r="G110">
        <v>13655.800769230769</v>
      </c>
      <c r="H110">
        <v>177525.41</v>
      </c>
      <c r="I110">
        <v>173738.36</v>
      </c>
      <c r="J110">
        <v>7</v>
      </c>
      <c r="K110">
        <v>24819.765714285713</v>
      </c>
      <c r="O110">
        <v>177525.41</v>
      </c>
      <c r="P110">
        <f t="shared" si="2"/>
        <v>13</v>
      </c>
      <c r="Q110">
        <f t="shared" si="3"/>
        <v>13655.800769230769</v>
      </c>
    </row>
    <row r="111" spans="1:17" x14ac:dyDescent="0.2">
      <c r="A111" t="s">
        <v>33</v>
      </c>
      <c r="B111" t="s">
        <v>34</v>
      </c>
      <c r="C111" t="s">
        <v>30</v>
      </c>
      <c r="D111" t="s">
        <v>35</v>
      </c>
      <c r="E111" t="s">
        <v>21</v>
      </c>
      <c r="F111">
        <v>8</v>
      </c>
      <c r="G111">
        <v>18391.964999999997</v>
      </c>
      <c r="H111">
        <v>147135.71999999997</v>
      </c>
      <c r="I111">
        <v>55135.770000000004</v>
      </c>
      <c r="J111">
        <v>3</v>
      </c>
      <c r="K111">
        <v>18378.59</v>
      </c>
      <c r="L111">
        <v>4</v>
      </c>
      <c r="M111">
        <v>5429.6900000000005</v>
      </c>
      <c r="N111">
        <v>21718.760000000002</v>
      </c>
      <c r="O111">
        <v>147135.71999999997</v>
      </c>
      <c r="P111">
        <f t="shared" si="2"/>
        <v>8</v>
      </c>
      <c r="Q111">
        <f t="shared" si="3"/>
        <v>18391.964999999997</v>
      </c>
    </row>
    <row r="112" spans="1:17" x14ac:dyDescent="0.2">
      <c r="A112" t="s">
        <v>33</v>
      </c>
      <c r="B112" t="s">
        <v>34</v>
      </c>
      <c r="C112" t="s">
        <v>30</v>
      </c>
      <c r="D112" t="s">
        <v>35</v>
      </c>
      <c r="E112" t="s">
        <v>22</v>
      </c>
      <c r="F112">
        <v>203</v>
      </c>
      <c r="G112">
        <v>21411.332216748775</v>
      </c>
      <c r="H112">
        <v>4346500.4400000013</v>
      </c>
      <c r="I112">
        <v>4726790.5500000063</v>
      </c>
      <c r="J112">
        <v>176</v>
      </c>
      <c r="K112">
        <v>26856.7644886364</v>
      </c>
      <c r="L112">
        <v>104</v>
      </c>
      <c r="M112">
        <v>28554.401249999995</v>
      </c>
      <c r="N112">
        <v>2969657.7299999995</v>
      </c>
      <c r="O112">
        <v>4726790.5500000063</v>
      </c>
      <c r="P112">
        <f t="shared" si="2"/>
        <v>203</v>
      </c>
      <c r="Q112">
        <f t="shared" si="3"/>
        <v>23284.682512315303</v>
      </c>
    </row>
    <row r="113" spans="1:17" x14ac:dyDescent="0.2">
      <c r="A113" t="s">
        <v>33</v>
      </c>
      <c r="B113" t="s">
        <v>34</v>
      </c>
      <c r="C113" t="s">
        <v>30</v>
      </c>
      <c r="D113" t="s">
        <v>23</v>
      </c>
      <c r="E113" t="s">
        <v>21</v>
      </c>
      <c r="F113">
        <v>119</v>
      </c>
      <c r="G113">
        <v>1449.8713445378146</v>
      </c>
      <c r="H113">
        <v>172534.68999999994</v>
      </c>
      <c r="I113">
        <v>13013.750000000005</v>
      </c>
      <c r="J113">
        <v>45</v>
      </c>
      <c r="K113">
        <v>289.19444444444457</v>
      </c>
      <c r="L113">
        <v>270</v>
      </c>
      <c r="M113">
        <v>972.94100000000026</v>
      </c>
      <c r="N113">
        <v>262694.07000000007</v>
      </c>
      <c r="O113">
        <v>262694.07000000007</v>
      </c>
      <c r="P113">
        <f t="shared" si="2"/>
        <v>270</v>
      </c>
      <c r="Q113">
        <f t="shared" si="3"/>
        <v>972.94100000000026</v>
      </c>
    </row>
    <row r="114" spans="1:17" x14ac:dyDescent="0.2">
      <c r="A114" t="s">
        <v>33</v>
      </c>
      <c r="B114" t="s">
        <v>34</v>
      </c>
      <c r="C114" t="s">
        <v>30</v>
      </c>
      <c r="D114" t="s">
        <v>23</v>
      </c>
      <c r="E114" t="s">
        <v>22</v>
      </c>
      <c r="F114">
        <v>975</v>
      </c>
      <c r="G114">
        <v>2833.1956820512819</v>
      </c>
      <c r="H114">
        <v>2762365.79</v>
      </c>
      <c r="I114">
        <v>3900338.1099999975</v>
      </c>
      <c r="J114">
        <v>1402</v>
      </c>
      <c r="K114">
        <v>2781.9815335235362</v>
      </c>
      <c r="L114">
        <v>796</v>
      </c>
      <c r="M114">
        <v>1577.830753768844</v>
      </c>
      <c r="N114">
        <v>1255953.2799999998</v>
      </c>
      <c r="O114">
        <v>3900338.1099999975</v>
      </c>
      <c r="P114">
        <f t="shared" si="2"/>
        <v>1402</v>
      </c>
      <c r="Q114">
        <f t="shared" si="3"/>
        <v>2781.9815335235362</v>
      </c>
    </row>
    <row r="115" spans="1:17" x14ac:dyDescent="0.2">
      <c r="A115" t="s">
        <v>33</v>
      </c>
      <c r="B115" t="s">
        <v>34</v>
      </c>
      <c r="C115" t="s">
        <v>30</v>
      </c>
      <c r="D115" t="s">
        <v>24</v>
      </c>
      <c r="E115" t="s">
        <v>21</v>
      </c>
      <c r="G115">
        <v>0</v>
      </c>
      <c r="H115">
        <v>80616.580000000016</v>
      </c>
      <c r="I115">
        <v>89157.049999999872</v>
      </c>
      <c r="K115">
        <v>0</v>
      </c>
      <c r="M115">
        <v>0</v>
      </c>
      <c r="N115">
        <v>89779.99</v>
      </c>
      <c r="O115">
        <v>89779.99</v>
      </c>
      <c r="P115">
        <f t="shared" si="2"/>
        <v>0</v>
      </c>
    </row>
    <row r="116" spans="1:17" x14ac:dyDescent="0.2">
      <c r="A116" t="s">
        <v>33</v>
      </c>
      <c r="B116" t="s">
        <v>34</v>
      </c>
      <c r="C116" t="s">
        <v>30</v>
      </c>
      <c r="D116" t="s">
        <v>24</v>
      </c>
      <c r="E116" t="s">
        <v>22</v>
      </c>
      <c r="G116">
        <v>0</v>
      </c>
      <c r="H116">
        <v>9120.2199999999993</v>
      </c>
      <c r="I116">
        <v>10901.879999999996</v>
      </c>
      <c r="K116">
        <v>0</v>
      </c>
      <c r="M116">
        <v>0</v>
      </c>
      <c r="N116">
        <v>7915.409999999998</v>
      </c>
      <c r="O116">
        <v>10901.879999999996</v>
      </c>
      <c r="P116">
        <f t="shared" si="2"/>
        <v>0</v>
      </c>
    </row>
    <row r="117" spans="1:17" x14ac:dyDescent="0.2">
      <c r="A117" t="s">
        <v>33</v>
      </c>
      <c r="B117" t="s">
        <v>34</v>
      </c>
      <c r="C117" t="s">
        <v>30</v>
      </c>
      <c r="D117" t="s">
        <v>25</v>
      </c>
      <c r="E117" t="s">
        <v>21</v>
      </c>
      <c r="F117">
        <v>16</v>
      </c>
      <c r="G117">
        <v>56722.84375</v>
      </c>
      <c r="H117">
        <v>907565.5</v>
      </c>
      <c r="I117">
        <v>244762.53000000017</v>
      </c>
      <c r="J117">
        <v>8</v>
      </c>
      <c r="K117">
        <v>30595.316250000022</v>
      </c>
      <c r="L117">
        <v>8</v>
      </c>
      <c r="M117">
        <v>67293.038750000007</v>
      </c>
      <c r="N117">
        <v>538344.31000000006</v>
      </c>
      <c r="O117">
        <v>907565.5</v>
      </c>
      <c r="P117">
        <f t="shared" si="2"/>
        <v>16</v>
      </c>
      <c r="Q117">
        <f t="shared" si="3"/>
        <v>56722.84375</v>
      </c>
    </row>
    <row r="118" spans="1:17" x14ac:dyDescent="0.2">
      <c r="A118" t="s">
        <v>33</v>
      </c>
      <c r="B118" t="s">
        <v>34</v>
      </c>
      <c r="C118" t="s">
        <v>30</v>
      </c>
      <c r="D118" t="s">
        <v>25</v>
      </c>
      <c r="E118" t="s">
        <v>22</v>
      </c>
      <c r="F118">
        <v>287</v>
      </c>
      <c r="G118">
        <v>47024.082787456493</v>
      </c>
      <c r="H118">
        <v>13495911.760000013</v>
      </c>
      <c r="I118">
        <v>13625220.560000705</v>
      </c>
      <c r="J118">
        <v>266</v>
      </c>
      <c r="K118">
        <v>51222.633684213179</v>
      </c>
      <c r="L118">
        <v>202</v>
      </c>
      <c r="M118">
        <v>46884.171287128745</v>
      </c>
      <c r="N118">
        <v>9470602.6000000071</v>
      </c>
      <c r="O118">
        <v>13625220.560000705</v>
      </c>
      <c r="P118">
        <f t="shared" si="2"/>
        <v>287</v>
      </c>
      <c r="Q118">
        <f t="shared" si="3"/>
        <v>47474.636097563431</v>
      </c>
    </row>
    <row r="119" spans="1:17" x14ac:dyDescent="0.2">
      <c r="A119" t="s">
        <v>33</v>
      </c>
      <c r="B119" t="s">
        <v>34</v>
      </c>
      <c r="C119" t="s">
        <v>30</v>
      </c>
      <c r="D119" t="s">
        <v>26</v>
      </c>
      <c r="E119" t="s">
        <v>21</v>
      </c>
      <c r="F119">
        <v>385</v>
      </c>
      <c r="G119">
        <v>8870.0139480519465</v>
      </c>
      <c r="H119">
        <v>3414955.3699999996</v>
      </c>
      <c r="I119">
        <v>3359788.2600000501</v>
      </c>
      <c r="J119">
        <v>449</v>
      </c>
      <c r="K119">
        <v>7482.8246325168157</v>
      </c>
      <c r="L119">
        <v>159</v>
      </c>
      <c r="M119">
        <v>10721.200503144655</v>
      </c>
      <c r="N119">
        <v>1704670.8800000001</v>
      </c>
      <c r="O119">
        <v>3414955.3699999996</v>
      </c>
      <c r="P119">
        <f t="shared" si="2"/>
        <v>449</v>
      </c>
      <c r="Q119">
        <f t="shared" si="3"/>
        <v>7605.6912472160348</v>
      </c>
    </row>
    <row r="120" spans="1:17" x14ac:dyDescent="0.2">
      <c r="A120" t="s">
        <v>33</v>
      </c>
      <c r="B120" t="s">
        <v>34</v>
      </c>
      <c r="C120" t="s">
        <v>30</v>
      </c>
      <c r="D120" t="s">
        <v>26</v>
      </c>
      <c r="E120" t="s">
        <v>22</v>
      </c>
      <c r="F120">
        <v>905</v>
      </c>
      <c r="G120">
        <v>12404.488696132585</v>
      </c>
      <c r="H120">
        <v>11226062.269999988</v>
      </c>
      <c r="I120">
        <v>12993485.740000078</v>
      </c>
      <c r="J120">
        <v>965</v>
      </c>
      <c r="K120">
        <v>13464.752062176247</v>
      </c>
      <c r="L120">
        <v>543</v>
      </c>
      <c r="M120">
        <v>10748.978158379376</v>
      </c>
      <c r="N120">
        <v>5836695.1400000006</v>
      </c>
      <c r="O120">
        <v>12993485.740000078</v>
      </c>
      <c r="P120">
        <f t="shared" si="2"/>
        <v>965</v>
      </c>
      <c r="Q120">
        <f t="shared" si="3"/>
        <v>13464.752062176247</v>
      </c>
    </row>
    <row r="121" spans="1:17" x14ac:dyDescent="0.2">
      <c r="A121" t="s">
        <v>33</v>
      </c>
      <c r="B121" t="s">
        <v>34</v>
      </c>
      <c r="C121" t="s">
        <v>30</v>
      </c>
      <c r="D121" t="s">
        <v>27</v>
      </c>
      <c r="E121" t="s">
        <v>21</v>
      </c>
      <c r="F121">
        <v>2</v>
      </c>
      <c r="G121">
        <v>87236.580000000016</v>
      </c>
      <c r="H121">
        <v>174473.16000000003</v>
      </c>
      <c r="I121">
        <v>36701.839999999997</v>
      </c>
      <c r="J121">
        <v>1</v>
      </c>
      <c r="K121">
        <v>36701.839999999997</v>
      </c>
      <c r="L121">
        <v>1</v>
      </c>
      <c r="M121">
        <v>41101.32</v>
      </c>
      <c r="N121">
        <v>41101.32</v>
      </c>
      <c r="O121">
        <v>174473.16000000003</v>
      </c>
      <c r="P121">
        <f t="shared" si="2"/>
        <v>2</v>
      </c>
      <c r="Q121">
        <f t="shared" si="3"/>
        <v>87236.580000000016</v>
      </c>
    </row>
    <row r="122" spans="1:17" x14ac:dyDescent="0.2">
      <c r="A122" t="s">
        <v>33</v>
      </c>
      <c r="B122" t="s">
        <v>34</v>
      </c>
      <c r="C122" t="s">
        <v>30</v>
      </c>
      <c r="D122" t="s">
        <v>27</v>
      </c>
      <c r="E122" t="s">
        <v>22</v>
      </c>
      <c r="F122">
        <v>16</v>
      </c>
      <c r="G122">
        <v>35403.682499999995</v>
      </c>
      <c r="H122">
        <v>566458.91999999993</v>
      </c>
      <c r="I122">
        <v>834060.42999999912</v>
      </c>
      <c r="J122">
        <v>18</v>
      </c>
      <c r="K122">
        <v>46336.690555555506</v>
      </c>
      <c r="L122">
        <v>23</v>
      </c>
      <c r="M122">
        <v>38390.527391304349</v>
      </c>
      <c r="N122">
        <v>882982.13</v>
      </c>
      <c r="O122">
        <v>882982.13</v>
      </c>
      <c r="P122">
        <f t="shared" si="2"/>
        <v>23</v>
      </c>
      <c r="Q122">
        <f t="shared" si="3"/>
        <v>38390.527391304349</v>
      </c>
    </row>
    <row r="123" spans="1:17" x14ac:dyDescent="0.2">
      <c r="A123" t="s">
        <v>33</v>
      </c>
      <c r="B123" t="s">
        <v>34</v>
      </c>
      <c r="C123" t="s">
        <v>30</v>
      </c>
      <c r="D123" t="s">
        <v>36</v>
      </c>
      <c r="E123" t="s">
        <v>21</v>
      </c>
      <c r="F123">
        <v>4</v>
      </c>
      <c r="G123">
        <v>122119.63749999998</v>
      </c>
      <c r="H123">
        <v>488478.54999999993</v>
      </c>
      <c r="I123">
        <v>38739.200000000004</v>
      </c>
      <c r="J123">
        <v>1</v>
      </c>
      <c r="K123">
        <v>38739.200000000004</v>
      </c>
      <c r="O123">
        <v>488478.54999999993</v>
      </c>
      <c r="P123">
        <f t="shared" si="2"/>
        <v>4</v>
      </c>
      <c r="Q123">
        <f t="shared" si="3"/>
        <v>122119.63749999998</v>
      </c>
    </row>
    <row r="124" spans="1:17" x14ac:dyDescent="0.2">
      <c r="A124" t="s">
        <v>33</v>
      </c>
      <c r="B124" t="s">
        <v>34</v>
      </c>
      <c r="C124" t="s">
        <v>30</v>
      </c>
      <c r="D124" t="s">
        <v>36</v>
      </c>
      <c r="E124" t="s">
        <v>22</v>
      </c>
      <c r="F124">
        <v>16</v>
      </c>
      <c r="G124">
        <v>53753.468749999985</v>
      </c>
      <c r="H124">
        <v>860055.49999999977</v>
      </c>
      <c r="I124">
        <v>868027.71000000357</v>
      </c>
      <c r="J124">
        <v>15</v>
      </c>
      <c r="K124">
        <v>57868.514000000236</v>
      </c>
      <c r="L124">
        <v>7</v>
      </c>
      <c r="M124">
        <v>52048.924285714289</v>
      </c>
      <c r="N124">
        <v>364342.47000000003</v>
      </c>
      <c r="O124">
        <v>868027.71000000357</v>
      </c>
      <c r="P124">
        <f t="shared" si="2"/>
        <v>16</v>
      </c>
      <c r="Q124">
        <f t="shared" si="3"/>
        <v>54251.731875000223</v>
      </c>
    </row>
    <row r="125" spans="1:17" x14ac:dyDescent="0.2">
      <c r="A125" t="s">
        <v>33</v>
      </c>
      <c r="B125" t="s">
        <v>34</v>
      </c>
      <c r="C125" t="s">
        <v>30</v>
      </c>
      <c r="D125" t="s">
        <v>28</v>
      </c>
      <c r="E125" t="s">
        <v>21</v>
      </c>
      <c r="F125">
        <v>6670</v>
      </c>
      <c r="G125">
        <v>530.77258470764616</v>
      </c>
      <c r="H125">
        <v>3540253.14</v>
      </c>
      <c r="I125">
        <v>3166774.00999999</v>
      </c>
      <c r="J125">
        <v>6789</v>
      </c>
      <c r="K125">
        <v>466.45662247753575</v>
      </c>
      <c r="L125">
        <v>4644</v>
      </c>
      <c r="M125">
        <v>589.26012273901824</v>
      </c>
      <c r="N125">
        <v>2736524.0100000007</v>
      </c>
      <c r="O125">
        <v>3540253.14</v>
      </c>
      <c r="P125">
        <f t="shared" si="2"/>
        <v>6789</v>
      </c>
      <c r="Q125">
        <f t="shared" si="3"/>
        <v>521.4690145824128</v>
      </c>
    </row>
    <row r="126" spans="1:17" x14ac:dyDescent="0.2">
      <c r="A126" t="s">
        <v>33</v>
      </c>
      <c r="B126" t="s">
        <v>34</v>
      </c>
      <c r="C126" t="s">
        <v>30</v>
      </c>
      <c r="D126" t="s">
        <v>28</v>
      </c>
      <c r="E126" t="s">
        <v>22</v>
      </c>
      <c r="F126">
        <v>10344</v>
      </c>
      <c r="G126">
        <v>751.07875483371993</v>
      </c>
      <c r="H126">
        <v>7769158.6399999987</v>
      </c>
      <c r="I126">
        <v>9776402.5000001807</v>
      </c>
      <c r="J126">
        <v>12715</v>
      </c>
      <c r="K126">
        <v>768.88733779002598</v>
      </c>
      <c r="L126">
        <v>6039</v>
      </c>
      <c r="M126">
        <v>707.44530054644758</v>
      </c>
      <c r="N126">
        <v>4272262.1699999971</v>
      </c>
      <c r="O126">
        <v>9776402.5000001807</v>
      </c>
      <c r="P126">
        <f t="shared" si="2"/>
        <v>12715</v>
      </c>
      <c r="Q126">
        <f t="shared" si="3"/>
        <v>768.88733779002598</v>
      </c>
    </row>
    <row r="127" spans="1:17" x14ac:dyDescent="0.2">
      <c r="A127" t="s">
        <v>33</v>
      </c>
      <c r="B127" t="s">
        <v>34</v>
      </c>
      <c r="C127" t="s">
        <v>30</v>
      </c>
      <c r="D127" t="s">
        <v>29</v>
      </c>
      <c r="E127" t="s">
        <v>21</v>
      </c>
      <c r="F127">
        <v>1</v>
      </c>
      <c r="G127">
        <v>61317.76999999999</v>
      </c>
      <c r="H127">
        <v>61317.76999999999</v>
      </c>
      <c r="I127">
        <v>102890.25</v>
      </c>
      <c r="J127">
        <v>3</v>
      </c>
      <c r="K127">
        <v>34296.75</v>
      </c>
      <c r="O127">
        <v>102890.25</v>
      </c>
      <c r="P127">
        <f t="shared" si="2"/>
        <v>3</v>
      </c>
      <c r="Q127">
        <f t="shared" si="3"/>
        <v>34296.75</v>
      </c>
    </row>
    <row r="128" spans="1:17" x14ac:dyDescent="0.2">
      <c r="A128" t="s">
        <v>33</v>
      </c>
      <c r="B128" t="s">
        <v>34</v>
      </c>
      <c r="C128" t="s">
        <v>30</v>
      </c>
      <c r="D128" t="s">
        <v>29</v>
      </c>
      <c r="E128" t="s">
        <v>22</v>
      </c>
      <c r="F128">
        <v>37</v>
      </c>
      <c r="G128">
        <v>21011.795135135137</v>
      </c>
      <c r="H128">
        <v>777436.42</v>
      </c>
      <c r="I128">
        <v>616327.86000000325</v>
      </c>
      <c r="J128">
        <v>44</v>
      </c>
      <c r="K128">
        <v>14007.451363636437</v>
      </c>
      <c r="L128">
        <v>8</v>
      </c>
      <c r="M128">
        <v>33640.943749999991</v>
      </c>
      <c r="N128">
        <v>269127.54999999993</v>
      </c>
      <c r="O128">
        <v>777436.42</v>
      </c>
      <c r="P128">
        <f t="shared" si="2"/>
        <v>44</v>
      </c>
      <c r="Q128">
        <f t="shared" si="3"/>
        <v>17669.009545454548</v>
      </c>
    </row>
    <row r="129" spans="1:17" x14ac:dyDescent="0.2">
      <c r="A129" t="s">
        <v>33</v>
      </c>
      <c r="B129" t="s">
        <v>34</v>
      </c>
      <c r="C129" t="s">
        <v>31</v>
      </c>
      <c r="D129" t="s">
        <v>20</v>
      </c>
      <c r="E129" t="s">
        <v>22</v>
      </c>
      <c r="F129">
        <v>13</v>
      </c>
      <c r="G129">
        <v>13655.800769230769</v>
      </c>
      <c r="H129">
        <v>177525.41</v>
      </c>
      <c r="L129">
        <v>5</v>
      </c>
      <c r="M129">
        <v>60172.784</v>
      </c>
      <c r="N129">
        <v>300863.92</v>
      </c>
      <c r="O129">
        <v>300863.92</v>
      </c>
      <c r="P129">
        <f t="shared" si="2"/>
        <v>13</v>
      </c>
      <c r="Q129">
        <f t="shared" si="3"/>
        <v>23143.378461538461</v>
      </c>
    </row>
    <row r="130" spans="1:17" x14ac:dyDescent="0.2">
      <c r="A130" t="s">
        <v>33</v>
      </c>
      <c r="B130" t="s">
        <v>34</v>
      </c>
      <c r="C130" t="s">
        <v>31</v>
      </c>
      <c r="D130" t="s">
        <v>35</v>
      </c>
      <c r="E130" t="s">
        <v>21</v>
      </c>
      <c r="F130">
        <v>9</v>
      </c>
      <c r="G130">
        <v>26010.248888888884</v>
      </c>
      <c r="H130">
        <v>234092.23999999996</v>
      </c>
      <c r="I130">
        <v>152968.91999999995</v>
      </c>
      <c r="J130">
        <v>5</v>
      </c>
      <c r="K130">
        <v>30593.783999999992</v>
      </c>
      <c r="L130">
        <v>4</v>
      </c>
      <c r="M130">
        <v>26321.14000000001</v>
      </c>
      <c r="N130">
        <v>105284.56000000004</v>
      </c>
      <c r="O130">
        <v>234092.23999999996</v>
      </c>
      <c r="P130">
        <f t="shared" si="2"/>
        <v>9</v>
      </c>
      <c r="Q130">
        <f t="shared" si="3"/>
        <v>26010.248888888884</v>
      </c>
    </row>
    <row r="131" spans="1:17" x14ac:dyDescent="0.2">
      <c r="A131" t="s">
        <v>33</v>
      </c>
      <c r="B131" t="s">
        <v>34</v>
      </c>
      <c r="C131" t="s">
        <v>31</v>
      </c>
      <c r="D131" t="s">
        <v>35</v>
      </c>
      <c r="E131" t="s">
        <v>22</v>
      </c>
      <c r="F131">
        <v>205</v>
      </c>
      <c r="G131">
        <v>21400.397951219518</v>
      </c>
      <c r="H131">
        <v>4387081.580000001</v>
      </c>
      <c r="I131">
        <v>2937679.9499999946</v>
      </c>
      <c r="J131">
        <v>60</v>
      </c>
      <c r="K131">
        <v>48961.332499999909</v>
      </c>
      <c r="L131">
        <v>122</v>
      </c>
      <c r="M131">
        <v>27145.528852459011</v>
      </c>
      <c r="N131">
        <v>3311754.5199999991</v>
      </c>
      <c r="O131">
        <v>4387081.580000001</v>
      </c>
      <c r="P131">
        <f t="shared" ref="P131:P147" si="4">MAX(L131,J131,F131)</f>
        <v>205</v>
      </c>
      <c r="Q131">
        <f t="shared" ref="Q131:Q147" si="5">O131/P131</f>
        <v>21400.397951219518</v>
      </c>
    </row>
    <row r="132" spans="1:17" x14ac:dyDescent="0.2">
      <c r="A132" t="s">
        <v>33</v>
      </c>
      <c r="B132" t="s">
        <v>34</v>
      </c>
      <c r="C132" t="s">
        <v>31</v>
      </c>
      <c r="D132" t="s">
        <v>23</v>
      </c>
      <c r="E132" t="s">
        <v>21</v>
      </c>
      <c r="F132">
        <v>127</v>
      </c>
      <c r="G132">
        <v>1439.9623622047243</v>
      </c>
      <c r="H132">
        <v>182875.21999999997</v>
      </c>
      <c r="I132">
        <v>222735.44000000024</v>
      </c>
      <c r="J132">
        <v>141</v>
      </c>
      <c r="K132">
        <v>1579.6839716312074</v>
      </c>
      <c r="L132">
        <v>192</v>
      </c>
      <c r="M132">
        <v>1109.4445312500002</v>
      </c>
      <c r="N132">
        <v>213013.35000000003</v>
      </c>
      <c r="O132">
        <v>222735.44000000024</v>
      </c>
      <c r="P132">
        <f t="shared" si="4"/>
        <v>192</v>
      </c>
      <c r="Q132">
        <f t="shared" si="5"/>
        <v>1160.0804166666678</v>
      </c>
    </row>
    <row r="133" spans="1:17" x14ac:dyDescent="0.2">
      <c r="A133" t="s">
        <v>33</v>
      </c>
      <c r="B133" t="s">
        <v>34</v>
      </c>
      <c r="C133" t="s">
        <v>31</v>
      </c>
      <c r="D133" t="s">
        <v>23</v>
      </c>
      <c r="E133" t="s">
        <v>22</v>
      </c>
      <c r="F133">
        <v>1004</v>
      </c>
      <c r="G133">
        <v>3200.4437450199198</v>
      </c>
      <c r="H133">
        <v>3213245.5199999996</v>
      </c>
      <c r="I133">
        <v>1981830.6299999808</v>
      </c>
      <c r="J133">
        <v>609</v>
      </c>
      <c r="K133">
        <v>3254.2374876846975</v>
      </c>
      <c r="L133">
        <v>749</v>
      </c>
      <c r="M133">
        <v>1684.8150600801062</v>
      </c>
      <c r="N133">
        <v>1261926.4799999995</v>
      </c>
      <c r="O133">
        <v>3213245.5199999996</v>
      </c>
      <c r="P133">
        <f t="shared" si="4"/>
        <v>1004</v>
      </c>
      <c r="Q133">
        <f t="shared" si="5"/>
        <v>3200.4437450199198</v>
      </c>
    </row>
    <row r="134" spans="1:17" x14ac:dyDescent="0.2">
      <c r="A134" t="s">
        <v>33</v>
      </c>
      <c r="B134" t="s">
        <v>34</v>
      </c>
      <c r="C134" t="s">
        <v>31</v>
      </c>
      <c r="D134" t="s">
        <v>24</v>
      </c>
      <c r="E134" t="s">
        <v>21</v>
      </c>
      <c r="G134">
        <v>0</v>
      </c>
      <c r="H134">
        <v>82748.570000000022</v>
      </c>
      <c r="I134">
        <v>76436.000000000146</v>
      </c>
      <c r="K134">
        <v>0</v>
      </c>
      <c r="M134">
        <v>0</v>
      </c>
      <c r="N134">
        <v>90285.34</v>
      </c>
      <c r="O134">
        <v>90285.34</v>
      </c>
      <c r="P134">
        <f t="shared" si="4"/>
        <v>0</v>
      </c>
    </row>
    <row r="135" spans="1:17" x14ac:dyDescent="0.2">
      <c r="A135" t="s">
        <v>33</v>
      </c>
      <c r="B135" t="s">
        <v>34</v>
      </c>
      <c r="C135" t="s">
        <v>31</v>
      </c>
      <c r="D135" t="s">
        <v>24</v>
      </c>
      <c r="E135" t="s">
        <v>22</v>
      </c>
      <c r="G135">
        <v>0</v>
      </c>
      <c r="H135">
        <v>9203.1699999999983</v>
      </c>
      <c r="I135">
        <v>58811.430000000008</v>
      </c>
      <c r="K135">
        <v>0</v>
      </c>
      <c r="M135">
        <v>0</v>
      </c>
      <c r="N135">
        <v>9455.3000000000011</v>
      </c>
      <c r="O135">
        <v>58811.430000000008</v>
      </c>
      <c r="P135">
        <f t="shared" si="4"/>
        <v>0</v>
      </c>
    </row>
    <row r="136" spans="1:17" x14ac:dyDescent="0.2">
      <c r="A136" t="s">
        <v>33</v>
      </c>
      <c r="B136" t="s">
        <v>34</v>
      </c>
      <c r="C136" t="s">
        <v>31</v>
      </c>
      <c r="D136" t="s">
        <v>25</v>
      </c>
      <c r="E136" t="s">
        <v>21</v>
      </c>
      <c r="F136">
        <v>17</v>
      </c>
      <c r="G136">
        <v>55176.348235294114</v>
      </c>
      <c r="H136">
        <v>937997.91999999993</v>
      </c>
      <c r="I136">
        <v>216464.98999999982</v>
      </c>
      <c r="J136">
        <v>6</v>
      </c>
      <c r="K136">
        <v>36077.4983333333</v>
      </c>
      <c r="L136">
        <v>12</v>
      </c>
      <c r="M136">
        <v>40932.01</v>
      </c>
      <c r="N136">
        <v>491184.12000000005</v>
      </c>
      <c r="O136">
        <v>937997.91999999993</v>
      </c>
      <c r="P136">
        <f t="shared" si="4"/>
        <v>17</v>
      </c>
      <c r="Q136">
        <f t="shared" si="5"/>
        <v>55176.348235294114</v>
      </c>
    </row>
    <row r="137" spans="1:17" x14ac:dyDescent="0.2">
      <c r="A137" t="s">
        <v>33</v>
      </c>
      <c r="B137" t="s">
        <v>34</v>
      </c>
      <c r="C137" t="s">
        <v>31</v>
      </c>
      <c r="D137" t="s">
        <v>25</v>
      </c>
      <c r="E137" t="s">
        <v>22</v>
      </c>
      <c r="F137">
        <v>294</v>
      </c>
      <c r="G137">
        <v>47754.4740476191</v>
      </c>
      <c r="H137">
        <v>14039815.370000016</v>
      </c>
      <c r="I137">
        <v>8946821.7900000326</v>
      </c>
      <c r="J137">
        <v>89</v>
      </c>
      <c r="K137">
        <v>100526.08752809025</v>
      </c>
      <c r="L137">
        <v>189</v>
      </c>
      <c r="M137">
        <v>46009.060105820179</v>
      </c>
      <c r="N137">
        <v>8695712.3600000143</v>
      </c>
      <c r="O137">
        <v>14039815.370000016</v>
      </c>
      <c r="P137">
        <f t="shared" si="4"/>
        <v>294</v>
      </c>
      <c r="Q137">
        <f t="shared" si="5"/>
        <v>47754.4740476191</v>
      </c>
    </row>
    <row r="138" spans="1:17" x14ac:dyDescent="0.2">
      <c r="A138" t="s">
        <v>33</v>
      </c>
      <c r="B138" t="s">
        <v>34</v>
      </c>
      <c r="C138" t="s">
        <v>31</v>
      </c>
      <c r="D138" t="s">
        <v>26</v>
      </c>
      <c r="E138" t="s">
        <v>21</v>
      </c>
      <c r="F138">
        <v>409</v>
      </c>
      <c r="G138">
        <v>9061.2634963325181</v>
      </c>
      <c r="H138">
        <v>3706056.77</v>
      </c>
      <c r="I138">
        <v>3873246.8700000038</v>
      </c>
      <c r="J138">
        <v>259</v>
      </c>
      <c r="K138">
        <v>14954.621119691135</v>
      </c>
      <c r="L138">
        <v>216</v>
      </c>
      <c r="M138">
        <v>10677.317685185188</v>
      </c>
      <c r="N138">
        <v>2306300.6200000006</v>
      </c>
      <c r="O138">
        <v>3873246.8700000038</v>
      </c>
      <c r="P138">
        <f t="shared" si="4"/>
        <v>409</v>
      </c>
      <c r="Q138">
        <f t="shared" si="5"/>
        <v>9470.0412469437742</v>
      </c>
    </row>
    <row r="139" spans="1:17" x14ac:dyDescent="0.2">
      <c r="A139" t="s">
        <v>33</v>
      </c>
      <c r="B139" t="s">
        <v>34</v>
      </c>
      <c r="C139" t="s">
        <v>31</v>
      </c>
      <c r="D139" t="s">
        <v>26</v>
      </c>
      <c r="E139" t="s">
        <v>22</v>
      </c>
      <c r="F139">
        <v>932</v>
      </c>
      <c r="G139">
        <v>12219.019935622304</v>
      </c>
      <c r="H139">
        <v>11388126.579999987</v>
      </c>
      <c r="I139">
        <v>13217557.639999885</v>
      </c>
      <c r="J139">
        <v>464</v>
      </c>
      <c r="K139">
        <v>28486.11560344803</v>
      </c>
      <c r="L139">
        <v>655</v>
      </c>
      <c r="M139">
        <v>11838.584000000003</v>
      </c>
      <c r="N139">
        <v>7754272.5200000014</v>
      </c>
      <c r="O139">
        <v>13217557.639999885</v>
      </c>
      <c r="P139">
        <f t="shared" si="4"/>
        <v>932</v>
      </c>
      <c r="Q139">
        <f t="shared" si="5"/>
        <v>14181.928798283139</v>
      </c>
    </row>
    <row r="140" spans="1:17" x14ac:dyDescent="0.2">
      <c r="A140" t="s">
        <v>33</v>
      </c>
      <c r="B140" t="s">
        <v>34</v>
      </c>
      <c r="C140" t="s">
        <v>31</v>
      </c>
      <c r="D140" t="s">
        <v>27</v>
      </c>
      <c r="E140" t="s">
        <v>21</v>
      </c>
      <c r="F140">
        <v>2</v>
      </c>
      <c r="G140">
        <v>88555.640000000014</v>
      </c>
      <c r="H140">
        <v>177111.28000000003</v>
      </c>
      <c r="L140">
        <v>1</v>
      </c>
      <c r="M140">
        <v>43790.68</v>
      </c>
      <c r="N140">
        <v>43790.68</v>
      </c>
      <c r="O140">
        <v>177111.28000000003</v>
      </c>
      <c r="P140">
        <f t="shared" si="4"/>
        <v>2</v>
      </c>
      <c r="Q140">
        <f t="shared" si="5"/>
        <v>88555.640000000014</v>
      </c>
    </row>
    <row r="141" spans="1:17" x14ac:dyDescent="0.2">
      <c r="A141" t="s">
        <v>33</v>
      </c>
      <c r="B141" t="s">
        <v>34</v>
      </c>
      <c r="C141" t="s">
        <v>31</v>
      </c>
      <c r="D141" t="s">
        <v>27</v>
      </c>
      <c r="E141" t="s">
        <v>22</v>
      </c>
      <c r="F141">
        <v>17</v>
      </c>
      <c r="G141">
        <v>33787.369999999995</v>
      </c>
      <c r="H141">
        <v>574385.28999999992</v>
      </c>
      <c r="L141">
        <v>18</v>
      </c>
      <c r="M141">
        <v>59731.618888888894</v>
      </c>
      <c r="N141">
        <v>1075169.1400000001</v>
      </c>
      <c r="O141">
        <v>1075169.1400000001</v>
      </c>
      <c r="P141">
        <f t="shared" si="4"/>
        <v>18</v>
      </c>
      <c r="Q141">
        <f t="shared" si="5"/>
        <v>59731.618888888894</v>
      </c>
    </row>
    <row r="142" spans="1:17" x14ac:dyDescent="0.2">
      <c r="A142" t="s">
        <v>33</v>
      </c>
      <c r="B142" t="s">
        <v>34</v>
      </c>
      <c r="C142" t="s">
        <v>31</v>
      </c>
      <c r="D142" t="s">
        <v>36</v>
      </c>
      <c r="E142" t="s">
        <v>21</v>
      </c>
      <c r="F142">
        <v>4</v>
      </c>
      <c r="G142">
        <v>124241.00499999998</v>
      </c>
      <c r="H142">
        <v>496964.0199999999</v>
      </c>
      <c r="O142">
        <v>496964.0199999999</v>
      </c>
      <c r="P142">
        <f t="shared" si="4"/>
        <v>4</v>
      </c>
      <c r="Q142">
        <f t="shared" si="5"/>
        <v>124241.00499999998</v>
      </c>
    </row>
    <row r="143" spans="1:17" x14ac:dyDescent="0.2">
      <c r="A143" t="s">
        <v>33</v>
      </c>
      <c r="B143" t="s">
        <v>34</v>
      </c>
      <c r="C143" t="s">
        <v>31</v>
      </c>
      <c r="D143" t="s">
        <v>36</v>
      </c>
      <c r="E143" t="s">
        <v>22</v>
      </c>
      <c r="F143">
        <v>17</v>
      </c>
      <c r="G143">
        <v>52508.32823529411</v>
      </c>
      <c r="H143">
        <v>892641.57999999984</v>
      </c>
      <c r="L143">
        <v>6</v>
      </c>
      <c r="M143">
        <v>60478.363333333342</v>
      </c>
      <c r="N143">
        <v>362870.18000000005</v>
      </c>
      <c r="O143">
        <v>892641.57999999984</v>
      </c>
      <c r="P143">
        <f t="shared" si="4"/>
        <v>17</v>
      </c>
      <c r="Q143">
        <f t="shared" si="5"/>
        <v>52508.32823529411</v>
      </c>
    </row>
    <row r="144" spans="1:17" x14ac:dyDescent="0.2">
      <c r="A144" t="s">
        <v>33</v>
      </c>
      <c r="B144" t="s">
        <v>34</v>
      </c>
      <c r="C144" t="s">
        <v>31</v>
      </c>
      <c r="D144" t="s">
        <v>28</v>
      </c>
      <c r="E144" t="s">
        <v>21</v>
      </c>
      <c r="F144">
        <v>6910</v>
      </c>
      <c r="G144">
        <v>529.4555441389291</v>
      </c>
      <c r="H144">
        <v>3658537.81</v>
      </c>
      <c r="I144">
        <v>1546611.8200000022</v>
      </c>
      <c r="J144">
        <v>1968</v>
      </c>
      <c r="K144">
        <v>785.87998983739942</v>
      </c>
      <c r="L144">
        <v>5766</v>
      </c>
      <c r="M144">
        <v>547.03757544224766</v>
      </c>
      <c r="N144">
        <v>3154218.6599999997</v>
      </c>
      <c r="O144">
        <v>3658537.81</v>
      </c>
      <c r="P144">
        <f t="shared" si="4"/>
        <v>6910</v>
      </c>
      <c r="Q144">
        <f t="shared" si="5"/>
        <v>529.4555441389291</v>
      </c>
    </row>
    <row r="145" spans="1:17" x14ac:dyDescent="0.2">
      <c r="A145" t="s">
        <v>33</v>
      </c>
      <c r="B145" t="s">
        <v>34</v>
      </c>
      <c r="C145" t="s">
        <v>31</v>
      </c>
      <c r="D145" t="s">
        <v>28</v>
      </c>
      <c r="E145" t="s">
        <v>22</v>
      </c>
      <c r="F145">
        <v>10698</v>
      </c>
      <c r="G145">
        <v>750.6148298747429</v>
      </c>
      <c r="H145">
        <v>8030077.4499999993</v>
      </c>
      <c r="I145">
        <v>2820963.1800000351</v>
      </c>
      <c r="J145">
        <v>3145</v>
      </c>
      <c r="K145">
        <v>896.96762480128302</v>
      </c>
      <c r="L145">
        <v>7955</v>
      </c>
      <c r="M145">
        <v>745.14145191703176</v>
      </c>
      <c r="N145">
        <v>5927600.2499999879</v>
      </c>
      <c r="O145">
        <v>8030077.4499999993</v>
      </c>
      <c r="P145">
        <f t="shared" si="4"/>
        <v>10698</v>
      </c>
      <c r="Q145">
        <f t="shared" si="5"/>
        <v>750.6148298747429</v>
      </c>
    </row>
    <row r="146" spans="1:17" x14ac:dyDescent="0.2">
      <c r="A146" t="s">
        <v>33</v>
      </c>
      <c r="B146" t="s">
        <v>34</v>
      </c>
      <c r="C146" t="s">
        <v>31</v>
      </c>
      <c r="D146" t="s">
        <v>29</v>
      </c>
      <c r="E146" t="s">
        <v>21</v>
      </c>
      <c r="F146">
        <v>1</v>
      </c>
      <c r="G146">
        <v>61317.76999999999</v>
      </c>
      <c r="H146">
        <v>61317.76999999999</v>
      </c>
      <c r="L146">
        <v>2</v>
      </c>
      <c r="M146">
        <v>30628.685000000005</v>
      </c>
      <c r="N146">
        <v>61257.37000000001</v>
      </c>
      <c r="O146">
        <v>61317.76999999999</v>
      </c>
      <c r="P146">
        <f t="shared" si="4"/>
        <v>2</v>
      </c>
      <c r="Q146">
        <f t="shared" si="5"/>
        <v>30658.884999999995</v>
      </c>
    </row>
    <row r="147" spans="1:17" x14ac:dyDescent="0.2">
      <c r="A147" t="s">
        <v>33</v>
      </c>
      <c r="B147" t="s">
        <v>34</v>
      </c>
      <c r="C147" t="s">
        <v>31</v>
      </c>
      <c r="D147" t="s">
        <v>29</v>
      </c>
      <c r="E147" t="s">
        <v>22</v>
      </c>
      <c r="F147">
        <v>39</v>
      </c>
      <c r="G147">
        <v>21657.385897435899</v>
      </c>
      <c r="H147">
        <v>844638.05</v>
      </c>
      <c r="L147">
        <v>21</v>
      </c>
      <c r="M147">
        <v>26140.017619047623</v>
      </c>
      <c r="N147">
        <v>548940.37000000011</v>
      </c>
      <c r="O147">
        <v>844638.05</v>
      </c>
      <c r="P147">
        <f t="shared" si="4"/>
        <v>39</v>
      </c>
      <c r="Q147">
        <f t="shared" si="5"/>
        <v>21657.385897435899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>
      <selection activeCell="K2" sqref="K2"/>
    </sheetView>
  </sheetViews>
  <sheetFormatPr defaultRowHeight="15" x14ac:dyDescent="0.2"/>
  <cols>
    <col min="1" max="1" width="4.9765625" bestFit="1" customWidth="1"/>
    <col min="2" max="2" width="11.43359375" bestFit="1" customWidth="1"/>
    <col min="3" max="3" width="16.54296875" bestFit="1" customWidth="1"/>
    <col min="4" max="4" width="13.85546875" bestFit="1" customWidth="1"/>
    <col min="5" max="5" width="14.390625" bestFit="1" customWidth="1"/>
    <col min="6" max="6" width="13.046875" bestFit="1" customWidth="1"/>
    <col min="7" max="7" width="16.140625" bestFit="1" customWidth="1"/>
    <col min="8" max="8" width="16.6796875" bestFit="1" customWidth="1"/>
    <col min="9" max="9" width="11.8359375" bestFit="1" customWidth="1"/>
    <col min="10" max="10" width="13.5859375" bestFit="1" customWidth="1"/>
    <col min="11" max="11" width="11.8359375" bestFit="1" customWidth="1"/>
  </cols>
  <sheetData>
    <row r="1" spans="1:11" x14ac:dyDescent="0.2">
      <c r="A1" t="s">
        <v>1</v>
      </c>
      <c r="B1" t="s">
        <v>2</v>
      </c>
      <c r="C1" t="s">
        <v>7</v>
      </c>
      <c r="D1" t="s">
        <v>8</v>
      </c>
      <c r="E1" t="s">
        <v>14</v>
      </c>
      <c r="F1" t="s">
        <v>9</v>
      </c>
      <c r="G1" t="s">
        <v>5</v>
      </c>
      <c r="H1" t="s">
        <v>37</v>
      </c>
      <c r="I1" t="s">
        <v>38</v>
      </c>
      <c r="J1" t="s">
        <v>15</v>
      </c>
      <c r="K1" t="s">
        <v>39</v>
      </c>
    </row>
    <row r="2" spans="1:11" x14ac:dyDescent="0.2">
      <c r="A2" t="s">
        <v>18</v>
      </c>
      <c r="B2" t="s">
        <v>40</v>
      </c>
      <c r="C2">
        <v>12111980.449999996</v>
      </c>
      <c r="D2">
        <v>12152616.329999983</v>
      </c>
      <c r="E2">
        <v>21154833.999999613</v>
      </c>
      <c r="F2">
        <v>7647</v>
      </c>
      <c r="G2">
        <v>8993</v>
      </c>
      <c r="H2">
        <v>1346.8231346602909</v>
      </c>
      <c r="I2">
        <v>1589.2005139270279</v>
      </c>
      <c r="J2">
        <v>11917.000000000164</v>
      </c>
      <c r="K2">
        <v>1775.1811697574324</v>
      </c>
    </row>
    <row r="3" spans="1:11" x14ac:dyDescent="0.2">
      <c r="A3" t="s">
        <v>18</v>
      </c>
      <c r="B3" t="s">
        <v>41</v>
      </c>
      <c r="C3">
        <v>11683297.509999996</v>
      </c>
      <c r="D3">
        <v>15184071.599999949</v>
      </c>
      <c r="E3">
        <v>21248173.999999747</v>
      </c>
      <c r="F3">
        <v>9442</v>
      </c>
      <c r="G3">
        <v>8722</v>
      </c>
      <c r="H3">
        <v>1339.5204666360921</v>
      </c>
      <c r="I3">
        <v>1608.1414530819688</v>
      </c>
      <c r="J3">
        <v>12245.000000000031</v>
      </c>
      <c r="K3">
        <v>1735.2530828909507</v>
      </c>
    </row>
    <row r="4" spans="1:11" x14ac:dyDescent="0.2">
      <c r="A4" t="s">
        <v>18</v>
      </c>
      <c r="B4" t="s">
        <v>42</v>
      </c>
      <c r="C4">
        <v>12111980.449999996</v>
      </c>
      <c r="D4">
        <v>5143092.9699999979</v>
      </c>
      <c r="E4">
        <v>21394563.000000101</v>
      </c>
      <c r="F4">
        <v>3531</v>
      </c>
      <c r="G4">
        <v>8993</v>
      </c>
      <c r="H4">
        <v>1346.8231346602909</v>
      </c>
      <c r="I4">
        <v>1456.5542254318884</v>
      </c>
      <c r="J4">
        <v>12124.999999999847</v>
      </c>
      <c r="K4">
        <v>1764.5000412371439</v>
      </c>
    </row>
    <row r="5" spans="1:11" x14ac:dyDescent="0.2">
      <c r="A5" t="s">
        <v>32</v>
      </c>
      <c r="B5" t="s">
        <v>40</v>
      </c>
      <c r="C5">
        <v>5976774.8599999994</v>
      </c>
      <c r="D5">
        <v>4373517.4299999783</v>
      </c>
      <c r="E5">
        <v>18670653.000000186</v>
      </c>
      <c r="F5">
        <v>3666</v>
      </c>
      <c r="G5">
        <v>5015</v>
      </c>
      <c r="H5">
        <v>1191.7796331006978</v>
      </c>
      <c r="I5">
        <v>1192.9943889798085</v>
      </c>
      <c r="J5">
        <v>10488.6000000001</v>
      </c>
      <c r="K5">
        <v>1780.0900978204916</v>
      </c>
    </row>
    <row r="6" spans="1:11" x14ac:dyDescent="0.2">
      <c r="A6" t="s">
        <v>32</v>
      </c>
      <c r="B6" t="s">
        <v>41</v>
      </c>
      <c r="C6">
        <v>5650457.71</v>
      </c>
      <c r="D6">
        <v>7527882.9999999935</v>
      </c>
      <c r="E6">
        <v>18908956.199999921</v>
      </c>
      <c r="F6">
        <v>4409</v>
      </c>
      <c r="G6">
        <v>4875</v>
      </c>
      <c r="H6">
        <v>1159.0682482051282</v>
      </c>
      <c r="I6">
        <v>1707.3901111363107</v>
      </c>
      <c r="J6">
        <v>10547.999999999916</v>
      </c>
      <c r="K6">
        <v>1792.6579635950011</v>
      </c>
    </row>
    <row r="7" spans="1:11" x14ac:dyDescent="0.2">
      <c r="A7" t="s">
        <v>32</v>
      </c>
      <c r="B7" t="s">
        <v>42</v>
      </c>
      <c r="C7">
        <v>5976774.8599999994</v>
      </c>
      <c r="D7">
        <v>2266731.6799999969</v>
      </c>
      <c r="E7">
        <v>19745702.399999969</v>
      </c>
      <c r="F7">
        <v>1647</v>
      </c>
      <c r="G7">
        <v>5015</v>
      </c>
      <c r="H7">
        <v>1191.7796331006978</v>
      </c>
      <c r="I7">
        <v>1376.2791013964766</v>
      </c>
      <c r="J7">
        <v>10574.999999999907</v>
      </c>
      <c r="K7">
        <v>1867.2059007092332</v>
      </c>
    </row>
    <row r="8" spans="1:11" x14ac:dyDescent="0.2">
      <c r="A8" t="s">
        <v>34</v>
      </c>
      <c r="B8" t="s">
        <v>40</v>
      </c>
      <c r="C8">
        <v>10156243.319999998</v>
      </c>
      <c r="D8">
        <v>8917910.520000048</v>
      </c>
      <c r="E8">
        <v>9402229.339833146</v>
      </c>
      <c r="F8">
        <v>9135</v>
      </c>
      <c r="G8">
        <v>10090</v>
      </c>
      <c r="H8">
        <v>1006.5652447968284</v>
      </c>
      <c r="I8">
        <v>976.23541543514477</v>
      </c>
      <c r="J8">
        <v>13426.739951633541</v>
      </c>
      <c r="K8">
        <v>700.26152094270958</v>
      </c>
    </row>
    <row r="9" spans="1:11" x14ac:dyDescent="0.2">
      <c r="A9" t="s">
        <v>34</v>
      </c>
      <c r="B9" t="s">
        <v>41</v>
      </c>
      <c r="C9">
        <v>9663488.6699999981</v>
      </c>
      <c r="D9">
        <v>11970838.840000018</v>
      </c>
      <c r="E9">
        <v>8931897.4299999699</v>
      </c>
      <c r="F9">
        <v>11591</v>
      </c>
      <c r="G9">
        <v>9695</v>
      </c>
      <c r="H9">
        <v>996.74973388344483</v>
      </c>
      <c r="I9">
        <v>1032.7701527046863</v>
      </c>
      <c r="J9">
        <v>13056.979790000294</v>
      </c>
      <c r="K9">
        <v>684.07070958633756</v>
      </c>
    </row>
    <row r="10" spans="1:11" x14ac:dyDescent="0.2">
      <c r="A10" t="s">
        <v>34</v>
      </c>
      <c r="B10" t="s">
        <v>42</v>
      </c>
      <c r="C10">
        <v>10156243.319999998</v>
      </c>
      <c r="D10">
        <v>5079175.5699999882</v>
      </c>
      <c r="E10">
        <v>11225932.885300064</v>
      </c>
      <c r="F10">
        <v>3227</v>
      </c>
      <c r="G10">
        <v>10090</v>
      </c>
      <c r="H10">
        <v>1006.5652447968284</v>
      </c>
      <c r="I10">
        <v>1573.9620607375234</v>
      </c>
      <c r="J10">
        <v>16569.320000000076</v>
      </c>
      <c r="K10">
        <v>677.51319217083221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>
      <selection activeCell="D14" sqref="D14"/>
    </sheetView>
  </sheetViews>
  <sheetFormatPr defaultColWidth="24.48046875" defaultRowHeight="15" x14ac:dyDescent="0.2"/>
  <cols>
    <col min="1" max="1" width="4.9765625" bestFit="1" customWidth="1"/>
    <col min="2" max="2" width="10.625" bestFit="1" customWidth="1"/>
    <col min="3" max="3" width="15.46875" bestFit="1" customWidth="1"/>
    <col min="4" max="4" width="13.71875" bestFit="1" customWidth="1"/>
    <col min="5" max="5" width="12.9140625" bestFit="1" customWidth="1"/>
    <col min="6" max="6" width="14.52734375" bestFit="1" customWidth="1"/>
    <col min="7" max="8" width="11.8359375" bestFit="1" customWidth="1"/>
    <col min="9" max="9" width="13.85546875" bestFit="1" customWidth="1"/>
    <col min="10" max="10" width="13.046875" bestFit="1" customWidth="1"/>
    <col min="11" max="11" width="11.8359375" bestFit="1" customWidth="1"/>
  </cols>
  <sheetData>
    <row r="1" spans="1:11" x14ac:dyDescent="0.2">
      <c r="A1" t="s">
        <v>1</v>
      </c>
      <c r="B1" t="s">
        <v>2</v>
      </c>
      <c r="C1" t="s">
        <v>7</v>
      </c>
      <c r="D1" t="s">
        <v>8</v>
      </c>
      <c r="E1" t="s">
        <v>9</v>
      </c>
      <c r="F1" t="s">
        <v>5</v>
      </c>
      <c r="G1" t="s">
        <v>43</v>
      </c>
      <c r="H1" t="s">
        <v>44</v>
      </c>
      <c r="I1" t="s">
        <v>14</v>
      </c>
      <c r="J1" t="s">
        <v>15</v>
      </c>
      <c r="K1" t="s">
        <v>45</v>
      </c>
    </row>
    <row r="2" spans="1:11" x14ac:dyDescent="0.2">
      <c r="A2" t="s">
        <v>18</v>
      </c>
      <c r="B2" t="s">
        <v>19</v>
      </c>
      <c r="C2">
        <v>13194275.519999994</v>
      </c>
      <c r="D2">
        <v>15131175.839999791</v>
      </c>
      <c r="E2">
        <v>5393</v>
      </c>
      <c r="F2">
        <v>5069</v>
      </c>
      <c r="G2">
        <f>D2/E2</f>
        <v>2805.7066271091771</v>
      </c>
      <c r="H2">
        <v>2602.9346064312476</v>
      </c>
      <c r="I2">
        <v>15131175.839999791</v>
      </c>
      <c r="J2">
        <v>5393</v>
      </c>
      <c r="K2">
        <v>2805.7066271091771</v>
      </c>
    </row>
    <row r="3" spans="1:11" x14ac:dyDescent="0.2">
      <c r="A3" t="s">
        <v>18</v>
      </c>
      <c r="B3" t="s">
        <v>30</v>
      </c>
      <c r="C3">
        <v>12997447.949999992</v>
      </c>
      <c r="D3">
        <v>15957777.299999952</v>
      </c>
      <c r="E3">
        <v>5964</v>
      </c>
      <c r="F3">
        <v>4937</v>
      </c>
      <c r="G3">
        <f t="shared" ref="G3:G10" si="0">D3/E3</f>
        <v>2675.6836519114609</v>
      </c>
      <c r="H3">
        <v>2632.6611201134274</v>
      </c>
      <c r="I3">
        <v>15957777.299999952</v>
      </c>
      <c r="J3">
        <v>5964</v>
      </c>
      <c r="K3">
        <v>2675.6836519114609</v>
      </c>
    </row>
    <row r="4" spans="1:11" x14ac:dyDescent="0.2">
      <c r="A4" t="s">
        <v>18</v>
      </c>
      <c r="B4" t="s">
        <v>31</v>
      </c>
      <c r="C4">
        <v>13194275.519999994</v>
      </c>
      <c r="D4">
        <v>4279106.1899999985</v>
      </c>
      <c r="E4">
        <v>1278</v>
      </c>
      <c r="F4">
        <v>5069</v>
      </c>
      <c r="G4">
        <f t="shared" si="0"/>
        <v>3348.2834037558673</v>
      </c>
      <c r="H4">
        <v>2602.9346064312476</v>
      </c>
      <c r="I4">
        <v>13194275.519999994</v>
      </c>
      <c r="J4">
        <v>5069</v>
      </c>
      <c r="K4">
        <v>2602.9346064312476</v>
      </c>
    </row>
    <row r="5" spans="1:11" x14ac:dyDescent="0.2">
      <c r="A5" t="s">
        <v>32</v>
      </c>
      <c r="B5" t="s">
        <v>19</v>
      </c>
      <c r="C5">
        <v>11108265.07</v>
      </c>
      <c r="D5">
        <v>7339618.4699999988</v>
      </c>
      <c r="E5">
        <v>3374</v>
      </c>
      <c r="F5">
        <v>4873</v>
      </c>
      <c r="G5">
        <f t="shared" si="0"/>
        <v>2175.346315945465</v>
      </c>
      <c r="H5">
        <v>2279.5536774061152</v>
      </c>
      <c r="I5">
        <v>11108265.07</v>
      </c>
      <c r="J5">
        <v>4873</v>
      </c>
      <c r="K5">
        <v>2279.5536774061152</v>
      </c>
    </row>
    <row r="6" spans="1:11" x14ac:dyDescent="0.2">
      <c r="A6" t="s">
        <v>32</v>
      </c>
      <c r="B6" t="s">
        <v>30</v>
      </c>
      <c r="C6">
        <v>10796540.550000001</v>
      </c>
      <c r="D6">
        <v>12439429.520000063</v>
      </c>
      <c r="E6">
        <v>4003</v>
      </c>
      <c r="F6">
        <v>4771</v>
      </c>
      <c r="G6">
        <f t="shared" si="0"/>
        <v>3107.526734948804</v>
      </c>
      <c r="H6">
        <v>2262.9512785579545</v>
      </c>
      <c r="I6">
        <v>12439429.520000063</v>
      </c>
      <c r="J6">
        <v>4771</v>
      </c>
      <c r="K6">
        <v>2607.3002557116042</v>
      </c>
    </row>
    <row r="7" spans="1:11" x14ac:dyDescent="0.2">
      <c r="A7" t="s">
        <v>32</v>
      </c>
      <c r="B7" t="s">
        <v>31</v>
      </c>
      <c r="C7">
        <v>11108265.07</v>
      </c>
      <c r="D7">
        <v>2182256.7399999998</v>
      </c>
      <c r="E7">
        <v>763</v>
      </c>
      <c r="F7">
        <v>4873</v>
      </c>
      <c r="G7">
        <f t="shared" si="0"/>
        <v>2860.100576671035</v>
      </c>
      <c r="H7">
        <v>2279.5536774061152</v>
      </c>
      <c r="I7">
        <v>11108265.07</v>
      </c>
      <c r="J7">
        <v>4873</v>
      </c>
      <c r="K7">
        <v>2279.5536774061152</v>
      </c>
    </row>
    <row r="8" spans="1:11" x14ac:dyDescent="0.2">
      <c r="A8" t="s">
        <v>34</v>
      </c>
      <c r="B8" t="s">
        <v>19</v>
      </c>
      <c r="C8">
        <v>7328549.0900000026</v>
      </c>
      <c r="D8">
        <v>6116284.8100000266</v>
      </c>
      <c r="E8">
        <v>7473</v>
      </c>
      <c r="F8">
        <v>8813</v>
      </c>
      <c r="G8">
        <f t="shared" si="0"/>
        <v>818.45106516794147</v>
      </c>
      <c r="H8">
        <v>831.56122659707285</v>
      </c>
      <c r="I8">
        <v>7328549.0900000026</v>
      </c>
      <c r="J8">
        <v>8813</v>
      </c>
      <c r="K8">
        <v>831.56122659707285</v>
      </c>
    </row>
    <row r="9" spans="1:11" x14ac:dyDescent="0.2">
      <c r="A9" t="s">
        <v>34</v>
      </c>
      <c r="B9" t="s">
        <v>30</v>
      </c>
      <c r="C9">
        <v>7100650.9200000027</v>
      </c>
      <c r="D9">
        <v>8387898.9400000684</v>
      </c>
      <c r="E9">
        <v>9066</v>
      </c>
      <c r="F9">
        <v>8517</v>
      </c>
      <c r="G9">
        <f t="shared" si="0"/>
        <v>925.20394220163996</v>
      </c>
      <c r="H9">
        <v>833.7032898908069</v>
      </c>
      <c r="I9">
        <v>8387898.9400000684</v>
      </c>
      <c r="J9">
        <v>9066</v>
      </c>
      <c r="K9">
        <v>925.20394220163996</v>
      </c>
    </row>
    <row r="10" spans="1:11" x14ac:dyDescent="0.2">
      <c r="A10" t="s">
        <v>34</v>
      </c>
      <c r="B10" t="s">
        <v>31</v>
      </c>
      <c r="C10">
        <v>7328549.0900000026</v>
      </c>
      <c r="D10">
        <v>3117051.9699999997</v>
      </c>
      <c r="E10">
        <v>2290</v>
      </c>
      <c r="F10">
        <v>8813</v>
      </c>
      <c r="G10">
        <f t="shared" si="0"/>
        <v>1361.1580655021833</v>
      </c>
      <c r="H10">
        <v>831.56122659707285</v>
      </c>
      <c r="I10">
        <v>7328549.0900000026</v>
      </c>
      <c r="J10">
        <v>8813</v>
      </c>
      <c r="K10">
        <v>831.56122659707285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f5eea2-02aa-43b2-b186-9bb5aae170f1">
      <Terms xmlns="http://schemas.microsoft.com/office/infopath/2007/PartnerControls"/>
    </lcf76f155ced4ddcb4097134ff3c332f>
    <PDCA xmlns="8df5eea2-02aa-43b2-b186-9bb5aae170f1" xsi:nil="true"/>
    <VersionNo_x002e_ xmlns="8df5eea2-02aa-43b2-b186-9bb5aae170f1" xsi:nil="true"/>
    <Description_x002f_Notes xmlns="8df5eea2-02aa-43b2-b186-9bb5aae170f1" xsi:nil="true"/>
    <Status xmlns="8df5eea2-02aa-43b2-b186-9bb5aae170f1" xsi:nil="true"/>
    <Month xmlns="884335bf-bdcf-4a7f-8de1-56005a59177c" xsi:nil="true"/>
    <NeededAction xmlns="8df5eea2-02aa-43b2-b186-9bb5aae170f1" xsi:nil="true"/>
    <TaxCatchAll xmlns="884335bf-bdcf-4a7f-8de1-56005a59177c" xsi:nil="true"/>
    <Process xmlns="8df5eea2-02aa-43b2-b186-9bb5aae170f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91108C4F2AAA4CA5FC6D47FEB1D130" ma:contentTypeVersion="21" ma:contentTypeDescription="Create a new document." ma:contentTypeScope="" ma:versionID="f4454b736e0cf75eefd7e01d026b5210">
  <xsd:schema xmlns:xsd="http://www.w3.org/2001/XMLSchema" xmlns:xs="http://www.w3.org/2001/XMLSchema" xmlns:p="http://schemas.microsoft.com/office/2006/metadata/properties" xmlns:ns2="884335bf-bdcf-4a7f-8de1-56005a59177c" xmlns:ns3="8df5eea2-02aa-43b2-b186-9bb5aae170f1" targetNamespace="http://schemas.microsoft.com/office/2006/metadata/properties" ma:root="true" ma:fieldsID="46e192f371eecf753a070a50847a3f21" ns2:_="" ns3:_="">
    <xsd:import namespace="884335bf-bdcf-4a7f-8de1-56005a59177c"/>
    <xsd:import namespace="8df5eea2-02aa-43b2-b186-9bb5aae170f1"/>
    <xsd:element name="properties">
      <xsd:complexType>
        <xsd:sequence>
          <xsd:element name="documentManagement">
            <xsd:complexType>
              <xsd:all>
                <xsd:element ref="ns2:Month" minOccurs="0"/>
                <xsd:element ref="ns3:VersionNo_x002e_" minOccurs="0"/>
                <xsd:element ref="ns3:Status" minOccurs="0"/>
                <xsd:element ref="ns3:Description_x002f_Notes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NeededAction" minOccurs="0"/>
                <xsd:element ref="ns3:PDCA" minOccurs="0"/>
                <xsd:element ref="ns3:Proces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4335bf-bdcf-4a7f-8de1-56005a59177c" elementFormDefault="qualified">
    <xsd:import namespace="http://schemas.microsoft.com/office/2006/documentManagement/types"/>
    <xsd:import namespace="http://schemas.microsoft.com/office/infopath/2007/PartnerControls"/>
    <xsd:element name="Month" ma:index="8" nillable="true" ma:displayName="Month" ma:format="Dropdown" ma:internalName="Month">
      <xsd:simpleType>
        <xsd:restriction base="dms:Choice">
          <xsd:enumeration value="Jan."/>
          <xsd:enumeration value="Feb.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."/>
          <xsd:enumeration value="Oct."/>
          <xsd:enumeration value="Nov."/>
          <xsd:enumeration value="Dec."/>
        </xsd:restriction>
      </xsd:simpleType>
    </xsd:element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3dacea3-c0fc-4c68-9bab-c9700671fb75}" ma:internalName="TaxCatchAll" ma:showField="CatchAllData" ma:web="884335bf-bdcf-4a7f-8de1-56005a591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5eea2-02aa-43b2-b186-9bb5aae170f1" elementFormDefault="qualified">
    <xsd:import namespace="http://schemas.microsoft.com/office/2006/documentManagement/types"/>
    <xsd:import namespace="http://schemas.microsoft.com/office/infopath/2007/PartnerControls"/>
    <xsd:element name="VersionNo_x002e_" ma:index="9" nillable="true" ma:displayName="Version No." ma:format="Dropdown" ma:internalName="VersionNo_x002e_" ma:percentage="FALSE">
      <xsd:simpleType>
        <xsd:restriction base="dms:Number"/>
      </xsd:simpleType>
    </xsd:element>
    <xsd:element name="Status" ma:index="10" nillable="true" ma:displayName="Status" ma:format="Dropdown" ma:internalName="Status">
      <xsd:simpleType>
        <xsd:restriction base="dms:Choice">
          <xsd:enumeration value="Draft"/>
          <xsd:enumeration value="Final"/>
        </xsd:restriction>
      </xsd:simpleType>
    </xsd:element>
    <xsd:element name="Description_x002f_Notes" ma:index="11" nillable="true" ma:displayName="Description / Notes" ma:format="Dropdown" ma:internalName="Description_x002f_Notes">
      <xsd:simpleType>
        <xsd:restriction base="dms:Note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27df0d-cd26-4623-87bf-6d09cadae3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eededAction" ma:index="26" nillable="true" ma:displayName="Needed Action" ma:format="Dropdown" ma:internalName="NeededAction">
      <xsd:simpleType>
        <xsd:restriction base="dms:Choice">
          <xsd:enumeration value="For CEO Review &amp; Comments "/>
          <xsd:enumeration value="Choice 2"/>
          <xsd:enumeration value="Choice 3"/>
        </xsd:restriction>
      </xsd:simpleType>
    </xsd:element>
    <xsd:element name="PDCA" ma:index="27" nillable="true" ma:displayName="PDCA" ma:internalName="PDCA">
      <xsd:simpleType>
        <xsd:restriction base="dms:Choice">
          <xsd:enumeration value="Plan"/>
          <xsd:enumeration value="Do"/>
          <xsd:enumeration value="Check"/>
          <xsd:enumeration value="Act"/>
        </xsd:restriction>
      </xsd:simpleType>
    </xsd:element>
    <xsd:element name="Process" ma:index="28" nillable="true" ma:displayName="Process" ma:internalName="Process">
      <xsd:simpleType>
        <xsd:restriction base="dms:Choice">
          <xsd:enumeration value="Market Research"/>
          <xsd:enumeration value="Product Commercialization management"/>
          <xsd:enumeration value="Product Development management"/>
          <xsd:enumeration value="Performance &amp; compensation management"/>
          <xsd:enumeration value="Business Analytics"/>
          <xsd:enumeration value="Project Management"/>
          <xsd:enumeration value="Stakeholder management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EF5767-DAFE-4BA8-8A75-45AFC3233B03}">
  <ds:schemaRefs>
    <ds:schemaRef ds:uri="http://schemas.microsoft.com/office/2006/metadata/properties"/>
    <ds:schemaRef ds:uri="http://www.w3.org/2000/xmlns/"/>
    <ds:schemaRef ds:uri="8df5eea2-02aa-43b2-b186-9bb5aae170f1"/>
    <ds:schemaRef ds:uri="http://schemas.microsoft.com/office/infopath/2007/PartnerControls"/>
    <ds:schemaRef ds:uri="http://www.w3.org/2001/XMLSchema-instance"/>
    <ds:schemaRef ds:uri="884335bf-bdcf-4a7f-8de1-56005a59177c"/>
  </ds:schemaRefs>
</ds:datastoreItem>
</file>

<file path=customXml/itemProps2.xml><?xml version="1.0" encoding="utf-8"?>
<ds:datastoreItem xmlns:ds="http://schemas.openxmlformats.org/officeDocument/2006/customXml" ds:itemID="{A3F7FF20-5074-4516-A4BB-CC61C04BC0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8A1EAB-4B02-4E7B-A7D1-EB16B799B5C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4335bf-bdcf-4a7f-8de1-56005a59177c"/>
    <ds:schemaRef ds:uri="8df5eea2-02aa-43b2-b186-9bb5aae170f1"/>
  </ds:schemaRefs>
</ds:datastoreItem>
</file>

<file path=docMetadata/LabelInfo.xml><?xml version="1.0" encoding="utf-8"?>
<clbl:labelList xmlns:clbl="http://schemas.microsoft.com/office/2020/mipLabelMetadata">
  <clbl:label id="{1111e2ea-3266-44a2-93ed-bd2aa34a4204}" enabled="1" method="Privileged" siteId="{c515f6b1-812f-4d6c-9542-d914e95b3d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Billing Data</vt:lpstr>
      <vt:lpstr>Marketing Data</vt:lpstr>
      <vt:lpstr>Medical CRM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Asmaa AbdElHady Mohamed</dc:creator>
  <cp:keywords/>
  <dc:description/>
  <cp:lastModifiedBy>Asmaa AbdElHady Mohamed</cp:lastModifiedBy>
  <cp:revision/>
  <dcterms:created xsi:type="dcterms:W3CDTF">2025-05-12T09:18:10Z</dcterms:created>
  <dcterms:modified xsi:type="dcterms:W3CDTF">2025-05-12T11:46:26Z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0x010100B491108C4F2AAA4CA5FC6D47FEB1D130</vt:lpwstr>
  </property>
  <property fmtid="{D5CDD505-2E9C-101B-9397-08002B2CF9AE}" pid="3" name="MediaServiceImageTags">
    <vt:lpwstr/>
  </property>
</Properties>
</file>